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inobumori/Developer/chonaikai-kaikei/"/>
    </mc:Choice>
  </mc:AlternateContent>
  <xr:revisionPtr revIDLastSave="0" documentId="13_ncr:1_{3A64D658-2FE0-6140-B7B3-40FF43EFF4C9}" xr6:coauthVersionLast="47" xr6:coauthVersionMax="47" xr10:uidLastSave="{00000000-0000-0000-0000-000000000000}"/>
  <bookViews>
    <workbookView xWindow="0" yWindow="640" windowWidth="25600" windowHeight="16000" activeTab="3" xr2:uid="{EA7B7210-5B43-9F42-9B31-6CE62E01F660}"/>
  </bookViews>
  <sheets>
    <sheet name="収支（前期）" sheetId="1" r:id="rId1"/>
    <sheet name="収支（後期）" sheetId="2" r:id="rId2"/>
    <sheet name="集計" sheetId="3" r:id="rId3"/>
    <sheet name="決算書" sheetId="4" r:id="rId4"/>
    <sheet name="予算書（案）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4"/>
  <c r="D10" i="4"/>
  <c r="E10" i="4" s="1"/>
  <c r="D17" i="4"/>
  <c r="D7" i="4"/>
  <c r="C49" i="2"/>
  <c r="C48" i="2"/>
  <c r="D52" i="2"/>
  <c r="C52" i="2"/>
  <c r="C51" i="2"/>
  <c r="D51" i="2"/>
  <c r="D53" i="1"/>
  <c r="C53" i="1"/>
  <c r="D28" i="6"/>
  <c r="C28" i="6"/>
  <c r="D17" i="6"/>
  <c r="C17" i="6"/>
  <c r="D29" i="4"/>
  <c r="D32" i="4" s="1"/>
  <c r="C29" i="4"/>
  <c r="D18" i="4"/>
  <c r="D31" i="4" s="1"/>
  <c r="C18" i="4"/>
  <c r="E27" i="6"/>
  <c r="E26" i="6"/>
  <c r="E25" i="6"/>
  <c r="E24" i="6"/>
  <c r="E23" i="6"/>
  <c r="E22" i="6"/>
  <c r="E21" i="6"/>
  <c r="E20" i="6"/>
  <c r="E16" i="6"/>
  <c r="E15" i="6"/>
  <c r="E14" i="6"/>
  <c r="E13" i="6"/>
  <c r="E12" i="6"/>
  <c r="E11" i="6"/>
  <c r="E10" i="6"/>
  <c r="E9" i="6"/>
  <c r="E28" i="4"/>
  <c r="E27" i="4"/>
  <c r="E26" i="4"/>
  <c r="E25" i="4"/>
  <c r="E24" i="4"/>
  <c r="E23" i="4"/>
  <c r="E22" i="4"/>
  <c r="E21" i="4"/>
  <c r="E17" i="4"/>
  <c r="E16" i="4"/>
  <c r="E15" i="4"/>
  <c r="E14" i="4"/>
  <c r="E13" i="4"/>
  <c r="E12" i="4"/>
  <c r="E11" i="4"/>
  <c r="C20" i="3"/>
  <c r="B20" i="3"/>
  <c r="C19" i="3"/>
  <c r="B19" i="3"/>
  <c r="C18" i="3"/>
  <c r="B18" i="3"/>
  <c r="C17" i="3"/>
  <c r="B17" i="3"/>
  <c r="C16" i="3"/>
  <c r="B16" i="3"/>
  <c r="C15" i="3"/>
  <c r="B15" i="3"/>
  <c r="C10" i="3"/>
  <c r="B10" i="3"/>
  <c r="C9" i="3"/>
  <c r="B9" i="3"/>
  <c r="C8" i="3"/>
  <c r="B8" i="3"/>
  <c r="C7" i="3"/>
  <c r="B7" i="3"/>
  <c r="C6" i="3"/>
  <c r="B6" i="3"/>
  <c r="C5" i="3"/>
  <c r="B5" i="3"/>
  <c r="E29" i="4" l="1"/>
  <c r="D33" i="4"/>
  <c r="C11" i="3"/>
  <c r="C21" i="3"/>
  <c r="B21" i="3"/>
  <c r="D20" i="3"/>
  <c r="D17" i="3"/>
  <c r="D15" i="3"/>
  <c r="D18" i="3"/>
  <c r="D19" i="3"/>
  <c r="D16" i="3"/>
  <c r="D5" i="3"/>
  <c r="D9" i="3"/>
  <c r="D10" i="3"/>
  <c r="D6" i="3"/>
  <c r="D7" i="3"/>
  <c r="D8" i="3"/>
  <c r="B11" i="3"/>
  <c r="E17" i="6"/>
  <c r="E28" i="6"/>
  <c r="E18" i="4"/>
  <c r="D21" i="3" l="1"/>
  <c r="C23" i="3"/>
  <c r="D11" i="3"/>
  <c r="B23" i="3"/>
  <c r="D23" i="3" s="1"/>
</calcChain>
</file>

<file path=xl/sharedStrings.xml><?xml version="1.0" encoding="utf-8"?>
<sst xmlns="http://schemas.openxmlformats.org/spreadsheetml/2006/main" count="170" uniqueCount="99">
  <si>
    <t>月</t>
  </si>
  <si>
    <t>月</t>
    <rPh sb="0" eb="1">
      <t>ツキ</t>
    </rPh>
    <phoneticPr fontId="1"/>
  </si>
  <si>
    <t>日</t>
    <rPh sb="0" eb="1">
      <t>ニティ</t>
    </rPh>
    <phoneticPr fontId="1"/>
  </si>
  <si>
    <t>摘要</t>
    <rPh sb="0" eb="2">
      <t>テキヨウ</t>
    </rPh>
    <phoneticPr fontId="1"/>
  </si>
  <si>
    <t>項目</t>
    <rPh sb="0" eb="2">
      <t>コウモク</t>
    </rPh>
    <phoneticPr fontId="1"/>
  </si>
  <si>
    <t>令和　　年　黒鳥三番組収支会計報告書（前期）</t>
    <rPh sb="0" eb="2">
      <t>レイワ</t>
    </rPh>
    <rPh sb="4" eb="5">
      <t xml:space="preserve">ネン </t>
    </rPh>
    <rPh sb="6" eb="8">
      <t>クロテ</t>
    </rPh>
    <rPh sb="8" eb="9">
      <t xml:space="preserve">サン </t>
    </rPh>
    <rPh sb="11" eb="15">
      <t>シュウシカイク</t>
    </rPh>
    <rPh sb="15" eb="18">
      <t>シュウシホウコク</t>
    </rPh>
    <phoneticPr fontId="1"/>
  </si>
  <si>
    <t>令和　　年　黒鳥三番組収支会計報告書（後期）</t>
    <rPh sb="0" eb="2">
      <t>レイワ</t>
    </rPh>
    <rPh sb="4" eb="5">
      <t xml:space="preserve">ネン </t>
    </rPh>
    <rPh sb="6" eb="8">
      <t>クロテ</t>
    </rPh>
    <rPh sb="8" eb="9">
      <t xml:space="preserve">サン </t>
    </rPh>
    <rPh sb="11" eb="15">
      <t>シュウシカイク</t>
    </rPh>
    <rPh sb="15" eb="18">
      <t>シュウシホウコク</t>
    </rPh>
    <rPh sb="19" eb="21">
      <t>コウキ</t>
    </rPh>
    <phoneticPr fontId="1"/>
  </si>
  <si>
    <t>令和　　年　黒鳥三番組 収支会計 月別集計表</t>
  </si>
  <si>
    <t>【前期（1月〜6月）】</t>
  </si>
  <si>
    <t>収入合計（円）</t>
  </si>
  <si>
    <t>支出合計（円）</t>
  </si>
  <si>
    <t>差引（円）</t>
  </si>
  <si>
    <t>1月</t>
  </si>
  <si>
    <t>2月</t>
  </si>
  <si>
    <t>3月</t>
  </si>
  <si>
    <t>4月</t>
  </si>
  <si>
    <t>5月</t>
  </si>
  <si>
    <t>6月</t>
  </si>
  <si>
    <t>前期合計</t>
  </si>
  <si>
    <t>【後期（7月〜12月）】</t>
  </si>
  <si>
    <t>7月</t>
  </si>
  <si>
    <t>8月</t>
  </si>
  <si>
    <t>9月</t>
  </si>
  <si>
    <t>10月</t>
  </si>
  <si>
    <t>11月</t>
  </si>
  <si>
    <t>12月</t>
  </si>
  <si>
    <t>後期合計</t>
  </si>
  <si>
    <t>年間合計</t>
  </si>
  <si>
    <t>令和　　年</t>
    <rPh sb="0" eb="2">
      <t>レイワ</t>
    </rPh>
    <rPh sb="4" eb="5">
      <t xml:space="preserve">ネン </t>
    </rPh>
    <phoneticPr fontId="1"/>
  </si>
  <si>
    <t>歳入決算額　</t>
    <rPh sb="0" eb="2">
      <t>サイニュウ</t>
    </rPh>
    <rPh sb="2" eb="5">
      <t>ケッサn</t>
    </rPh>
    <phoneticPr fontId="1"/>
  </si>
  <si>
    <t>歳出決算額</t>
    <rPh sb="0" eb="1">
      <t>サイシュテゥ</t>
    </rPh>
    <phoneticPr fontId="1"/>
  </si>
  <si>
    <t>歳入の部</t>
    <rPh sb="0" eb="2">
      <t>サイニュウ</t>
    </rPh>
    <phoneticPr fontId="1"/>
  </si>
  <si>
    <t>令和　　年予算</t>
    <rPh sb="0" eb="2">
      <t>レイワ</t>
    </rPh>
    <rPh sb="4" eb="5">
      <t xml:space="preserve">ネン </t>
    </rPh>
    <rPh sb="5" eb="7">
      <t xml:space="preserve">ヨサン </t>
    </rPh>
    <phoneticPr fontId="1"/>
  </si>
  <si>
    <t>比較</t>
    <rPh sb="0" eb="2">
      <t>ヒカク</t>
    </rPh>
    <phoneticPr fontId="1"/>
  </si>
  <si>
    <t>令和　　年決算</t>
    <rPh sb="0" eb="2">
      <t>レイワ</t>
    </rPh>
    <rPh sb="4" eb="5">
      <t>ネn</t>
    </rPh>
    <rPh sb="5" eb="7">
      <t>ケッサn</t>
    </rPh>
    <phoneticPr fontId="1"/>
  </si>
  <si>
    <t>1.前年度繰越金</t>
    <rPh sb="2" eb="8">
      <t>ゼンネn</t>
    </rPh>
    <phoneticPr fontId="1"/>
  </si>
  <si>
    <t>2.自治会費</t>
    <rPh sb="2" eb="6">
      <t>ジチカイ</t>
    </rPh>
    <phoneticPr fontId="1"/>
  </si>
  <si>
    <t>3.助成金</t>
    <rPh sb="2" eb="5">
      <t>ジョセイキn</t>
    </rPh>
    <phoneticPr fontId="1"/>
  </si>
  <si>
    <t>4.会費</t>
    <rPh sb="2" eb="4">
      <t>カイヒ</t>
    </rPh>
    <phoneticPr fontId="1"/>
  </si>
  <si>
    <t>5.資源ごみ回収</t>
    <rPh sb="2" eb="4">
      <t>シゲンゴミカイス</t>
    </rPh>
    <phoneticPr fontId="1"/>
  </si>
  <si>
    <t>6.手数料収入</t>
    <rPh sb="2" eb="7">
      <t>テスウ</t>
    </rPh>
    <phoneticPr fontId="1"/>
  </si>
  <si>
    <t>7.預金利息</t>
    <rPh sb="2" eb="6">
      <t>ヨキn</t>
    </rPh>
    <phoneticPr fontId="1"/>
  </si>
  <si>
    <t>歳入合計</t>
    <rPh sb="0" eb="1">
      <t>サイニュウ</t>
    </rPh>
    <phoneticPr fontId="1"/>
  </si>
  <si>
    <t>項　目</t>
    <rPh sb="0" eb="3">
      <t>コウモク</t>
    </rPh>
    <phoneticPr fontId="1"/>
  </si>
  <si>
    <t>歳出の部</t>
    <rPh sb="0" eb="1">
      <t>サイシュテゥ</t>
    </rPh>
    <rPh sb="3" eb="4">
      <t xml:space="preserve">ブ </t>
    </rPh>
    <phoneticPr fontId="1"/>
  </si>
  <si>
    <t>1.新年会・慰労会費</t>
    <rPh sb="2" eb="5">
      <t>シn</t>
    </rPh>
    <phoneticPr fontId="1"/>
  </si>
  <si>
    <t>2.各種会費</t>
    <rPh sb="2" eb="6">
      <t>カクセィウ</t>
    </rPh>
    <phoneticPr fontId="1"/>
  </si>
  <si>
    <t>3.協賛・助成金</t>
    <rPh sb="2" eb="4">
      <t>キョウ</t>
    </rPh>
    <rPh sb="5" eb="8">
      <t>ジョセイキn</t>
    </rPh>
    <phoneticPr fontId="1"/>
  </si>
  <si>
    <t>4.協力金・募金</t>
    <rPh sb="2" eb="5">
      <t>キョウ</t>
    </rPh>
    <phoneticPr fontId="1"/>
  </si>
  <si>
    <t>5.営繕・管理費</t>
    <rPh sb="2" eb="4">
      <t>エイ</t>
    </rPh>
    <phoneticPr fontId="1"/>
  </si>
  <si>
    <t>6.慶弔・見舞金　</t>
    <rPh sb="2" eb="4">
      <t>ケイチョウ</t>
    </rPh>
    <phoneticPr fontId="1"/>
  </si>
  <si>
    <t>7.会議費</t>
    <rPh sb="2" eb="5">
      <t>カイギ</t>
    </rPh>
    <phoneticPr fontId="1"/>
  </si>
  <si>
    <t>8.予備・雑費</t>
    <rPh sb="2" eb="4">
      <t>ヨビ</t>
    </rPh>
    <phoneticPr fontId="1"/>
  </si>
  <si>
    <t>至　令和　　年 12月31日</t>
    <rPh sb="0" eb="1">
      <t>イタル</t>
    </rPh>
    <rPh sb="2" eb="4">
      <t>レイワ</t>
    </rPh>
    <rPh sb="6" eb="7">
      <t xml:space="preserve">ネン </t>
    </rPh>
    <rPh sb="10" eb="11">
      <t>ガテゥ</t>
    </rPh>
    <rPh sb="13" eb="14">
      <t>ニティ</t>
    </rPh>
    <phoneticPr fontId="1"/>
  </si>
  <si>
    <t>自　令和　　年   1月  1日</t>
    <rPh sb="0" eb="1">
      <t xml:space="preserve">ジ </t>
    </rPh>
    <rPh sb="2" eb="4">
      <t>レイワ</t>
    </rPh>
    <rPh sb="6" eb="7">
      <t xml:space="preserve">ネン </t>
    </rPh>
    <rPh sb="11" eb="12">
      <t>ガテゥ</t>
    </rPh>
    <rPh sb="15" eb="16">
      <t>ニティ</t>
    </rPh>
    <phoneticPr fontId="1"/>
  </si>
  <si>
    <t>差し引き残高</t>
    <rPh sb="0" eb="1">
      <t>サシヒキ</t>
    </rPh>
    <phoneticPr fontId="1"/>
  </si>
  <si>
    <t>（令和　年へ繰り越し）</t>
    <rPh sb="4" eb="5">
      <t>ネn</t>
    </rPh>
    <phoneticPr fontId="1"/>
  </si>
  <si>
    <t>令和　　年　　月　　日　　黒鳥三番組自治会会計　江端　敏之</t>
    <rPh sb="0" eb="2">
      <t>レイワ</t>
    </rPh>
    <rPh sb="4" eb="5">
      <t xml:space="preserve">ネン </t>
    </rPh>
    <rPh sb="7" eb="8">
      <t>ガテゥ</t>
    </rPh>
    <rPh sb="10" eb="11">
      <t>ニティ</t>
    </rPh>
    <rPh sb="13" eb="15">
      <t>クロ</t>
    </rPh>
    <rPh sb="15" eb="16">
      <t xml:space="preserve">サン </t>
    </rPh>
    <rPh sb="16" eb="18">
      <t>バングム</t>
    </rPh>
    <rPh sb="18" eb="23">
      <t>ジティ</t>
    </rPh>
    <rPh sb="24" eb="26">
      <t>エバタ</t>
    </rPh>
    <rPh sb="27" eb="29">
      <t>トシユキ</t>
    </rPh>
    <phoneticPr fontId="1"/>
  </si>
  <si>
    <t>会計監査の結果、適正に処理されていたことを認めます</t>
    <rPh sb="0" eb="4">
      <t>カイケイ</t>
    </rPh>
    <phoneticPr fontId="1"/>
  </si>
  <si>
    <t>会計監査</t>
    <rPh sb="0" eb="4">
      <t>カイケイ</t>
    </rPh>
    <phoneticPr fontId="1"/>
  </si>
  <si>
    <t>印</t>
    <rPh sb="0" eb="1">
      <t>インカn</t>
    </rPh>
    <phoneticPr fontId="1"/>
  </si>
  <si>
    <t>令和　　年　黒鳥三番組自治会　決算書</t>
    <rPh sb="0" eb="2">
      <t>レイワ</t>
    </rPh>
    <rPh sb="4" eb="5">
      <t xml:space="preserve">ネン </t>
    </rPh>
    <rPh sb="6" eb="9">
      <t>クロトリ</t>
    </rPh>
    <rPh sb="9" eb="11">
      <t>バn</t>
    </rPh>
    <rPh sb="11" eb="18">
      <t>ジチカイケス</t>
    </rPh>
    <phoneticPr fontId="1"/>
  </si>
  <si>
    <t>令和　　年　黒鳥三番組自治会予算書（案）</t>
    <rPh sb="0" eb="2">
      <t>レイワ</t>
    </rPh>
    <rPh sb="4" eb="5">
      <t xml:space="preserve">ネン </t>
    </rPh>
    <rPh sb="6" eb="9">
      <t>クロトリ</t>
    </rPh>
    <rPh sb="9" eb="11">
      <t>バn</t>
    </rPh>
    <rPh sb="11" eb="14">
      <t>ジチカイケス</t>
    </rPh>
    <rPh sb="14" eb="17">
      <t>ヨサn</t>
    </rPh>
    <phoneticPr fontId="1"/>
  </si>
  <si>
    <t>事務委託料・電気料金等</t>
    <rPh sb="0" eb="5">
      <t>ジムイタ</t>
    </rPh>
    <rPh sb="6" eb="11">
      <t>デンキ</t>
    </rPh>
    <phoneticPr fontId="1"/>
  </si>
  <si>
    <t>前年度繰越金</t>
    <rPh sb="0" eb="6">
      <t>ゼn</t>
    </rPh>
    <phoneticPr fontId="1"/>
  </si>
  <si>
    <r>
      <t>10,000円</t>
    </r>
    <r>
      <rPr>
        <b/>
        <sz val="12"/>
        <color theme="1"/>
        <rFont val="游ゴシック"/>
        <family val="3"/>
        <charset val="128"/>
      </rPr>
      <t>×26世帯</t>
    </r>
    <phoneticPr fontId="1"/>
  </si>
  <si>
    <t>新年会・運動会・川前普請</t>
    <rPh sb="0" eb="3">
      <t>シンネンカイ/</t>
    </rPh>
    <rPh sb="10" eb="12">
      <t xml:space="preserve">フシン </t>
    </rPh>
    <phoneticPr fontId="1"/>
  </si>
  <si>
    <t>資源ごみ回収</t>
    <rPh sb="0" eb="2">
      <t>シゲn</t>
    </rPh>
    <phoneticPr fontId="1"/>
  </si>
  <si>
    <t>交通災害共済手数料</t>
    <rPh sb="2" eb="6">
      <t>サイガ</t>
    </rPh>
    <rPh sb="6" eb="9">
      <t>テスウ</t>
    </rPh>
    <phoneticPr fontId="1"/>
  </si>
  <si>
    <t>農協預金利息</t>
    <rPh sb="0" eb="2">
      <t>ノウキョウ</t>
    </rPh>
    <rPh sb="2" eb="6">
      <t>ヨキ</t>
    </rPh>
    <phoneticPr fontId="1"/>
  </si>
  <si>
    <r>
      <rPr>
        <b/>
        <sz val="9"/>
        <color theme="1"/>
        <rFont val="游ゴシック"/>
        <family val="3"/>
        <charset val="128"/>
      </rPr>
      <t>令和1年より積立開始</t>
    </r>
    <r>
      <rPr>
        <b/>
        <sz val="5"/>
        <color theme="1"/>
        <rFont val="游ゴシック"/>
        <family val="3"/>
        <charset val="128"/>
      </rPr>
      <t>（2,000円×26世帯）</t>
    </r>
    <rPh sb="0" eb="2">
      <t>レイワ</t>
    </rPh>
    <rPh sb="6" eb="10">
      <t>ツミタテ</t>
    </rPh>
    <phoneticPr fontId="1"/>
  </si>
  <si>
    <t>小中学校後援会・団体会費等</t>
    <rPh sb="0" eb="7">
      <t>ショウチュウガッコウ</t>
    </rPh>
    <phoneticPr fontId="1"/>
  </si>
  <si>
    <t>各種協賛・八幡宮御神酒代</t>
    <rPh sb="0" eb="4">
      <t>カクセィウ</t>
    </rPh>
    <rPh sb="8" eb="11">
      <t xml:space="preserve">オミキ </t>
    </rPh>
    <rPh sb="11" eb="12">
      <t xml:space="preserve">ダイ </t>
    </rPh>
    <phoneticPr fontId="1"/>
  </si>
  <si>
    <t>赤い羽根・細末助け合い等</t>
    <rPh sb="0" eb="1">
      <t>アカイ</t>
    </rPh>
    <phoneticPr fontId="1"/>
  </si>
  <si>
    <t>ゴミ置き場・除雪・電気料</t>
    <phoneticPr fontId="1"/>
  </si>
  <si>
    <t>役員会議費</t>
    <rPh sb="0" eb="4">
      <t>ヤクインカイグ</t>
    </rPh>
    <rPh sb="4" eb="5">
      <t>h</t>
    </rPh>
    <phoneticPr fontId="1"/>
  </si>
  <si>
    <t>事務用品・その他</t>
    <rPh sb="0" eb="1">
      <t>ジムヨウ</t>
    </rPh>
    <phoneticPr fontId="1"/>
  </si>
  <si>
    <t xml:space="preserve">   自　令和　　年   1月  1日</t>
    <rPh sb="3" eb="4">
      <t xml:space="preserve">ジ </t>
    </rPh>
    <rPh sb="5" eb="7">
      <t>レイワ</t>
    </rPh>
    <rPh sb="9" eb="10">
      <t xml:space="preserve">ネン </t>
    </rPh>
    <rPh sb="14" eb="15">
      <t>ガテゥ</t>
    </rPh>
    <rPh sb="18" eb="19">
      <t>ニティ</t>
    </rPh>
    <phoneticPr fontId="1"/>
  </si>
  <si>
    <t xml:space="preserve">   至　令和　　年 12月31日</t>
    <rPh sb="3" eb="4">
      <t>イタル</t>
    </rPh>
    <rPh sb="5" eb="7">
      <t>レイワ</t>
    </rPh>
    <rPh sb="9" eb="10">
      <t xml:space="preserve">ネン </t>
    </rPh>
    <rPh sb="13" eb="14">
      <t>ガテゥ</t>
    </rPh>
    <rPh sb="16" eb="17">
      <t>ニティ</t>
    </rPh>
    <phoneticPr fontId="1"/>
  </si>
  <si>
    <t>歳入予算額</t>
    <rPh sb="0" eb="2">
      <t>サイニュウ</t>
    </rPh>
    <rPh sb="2" eb="5">
      <t>ヨサ</t>
    </rPh>
    <phoneticPr fontId="1"/>
  </si>
  <si>
    <t>歳出予算額</t>
    <rPh sb="0" eb="1">
      <t>サイシュテゥ</t>
    </rPh>
    <rPh sb="2" eb="5">
      <t>ヨサ</t>
    </rPh>
    <phoneticPr fontId="1"/>
  </si>
  <si>
    <t>単位：円</t>
    <rPh sb="0" eb="2">
      <t xml:space="preserve">タンイ </t>
    </rPh>
    <rPh sb="3" eb="4">
      <t>エn</t>
    </rPh>
    <phoneticPr fontId="1"/>
  </si>
  <si>
    <t>単位：円</t>
    <rPh sb="0" eb="2">
      <t>タンイ</t>
    </rPh>
    <rPh sb="3" eb="4">
      <t>エn</t>
    </rPh>
    <phoneticPr fontId="1"/>
  </si>
  <si>
    <t>8.自治会積立金</t>
    <rPh sb="2" eb="5">
      <t>ジティ</t>
    </rPh>
    <rPh sb="5" eb="8">
      <t>ツミタ</t>
    </rPh>
    <phoneticPr fontId="1"/>
  </si>
  <si>
    <r>
      <t>令和1年より積立開始</t>
    </r>
    <r>
      <rPr>
        <b/>
        <sz val="5"/>
        <color theme="1"/>
        <rFont val="游ゴシック"/>
        <family val="3"/>
        <charset val="128"/>
      </rPr>
      <t>（2,000円×26世帯）</t>
    </r>
    <rPh sb="0" eb="2">
      <t>レイワ</t>
    </rPh>
    <rPh sb="6" eb="10">
      <t>ツミタテ</t>
    </rPh>
    <phoneticPr fontId="1"/>
  </si>
  <si>
    <t>10,000円×26世帯</t>
    <phoneticPr fontId="1"/>
  </si>
  <si>
    <t>香典等</t>
    <rPh sb="0" eb="3">
      <t>コウデn</t>
    </rPh>
    <phoneticPr fontId="1"/>
  </si>
  <si>
    <t>歳入（円）</t>
    <rPh sb="0" eb="2">
      <t>サイニュウ</t>
    </rPh>
    <phoneticPr fontId="1"/>
  </si>
  <si>
    <t>歳出（円）</t>
    <rPh sb="0" eb="2">
      <t>サイシュテゥ</t>
    </rPh>
    <phoneticPr fontId="1"/>
  </si>
  <si>
    <t>摘要</t>
    <rPh sb="0" eb="1">
      <t>テキヨウ</t>
    </rPh>
    <phoneticPr fontId="1"/>
  </si>
  <si>
    <t>前期合計</t>
    <rPh sb="0" eb="4">
      <t>ゼn</t>
    </rPh>
    <phoneticPr fontId="1"/>
  </si>
  <si>
    <t>自治会積立金</t>
    <rPh sb="0" eb="6">
      <t>ジチカイ</t>
    </rPh>
    <phoneticPr fontId="1"/>
  </si>
  <si>
    <t>前期合計</t>
    <rPh sb="0" eb="1">
      <t>ゼn</t>
    </rPh>
    <phoneticPr fontId="1"/>
  </si>
  <si>
    <t>後期合計</t>
    <rPh sb="0" eb="4">
      <t>コウキゴウク</t>
    </rPh>
    <phoneticPr fontId="1"/>
  </si>
  <si>
    <t>総合計</t>
    <rPh sb="0" eb="1">
      <t xml:space="preserve">ソウ </t>
    </rPh>
    <rPh sb="1" eb="3">
      <t>ネンドグ</t>
    </rPh>
    <phoneticPr fontId="1"/>
  </si>
  <si>
    <t>次年度繰越金</t>
    <rPh sb="0" eb="6">
      <t>ジネンド</t>
    </rPh>
    <phoneticPr fontId="1"/>
  </si>
  <si>
    <t>次年へ繰越金</t>
    <rPh sb="0" eb="2">
      <t>ジネn</t>
    </rPh>
    <phoneticPr fontId="1"/>
  </si>
  <si>
    <t>前年度繰越金</t>
    <rPh sb="0" eb="6">
      <t>ゼンネンド</t>
    </rPh>
    <phoneticPr fontId="1"/>
  </si>
  <si>
    <t>次年度繰越金</t>
    <rPh sb="0" eb="2">
      <t>ジネn</t>
    </rPh>
    <rPh sb="2" eb="3">
      <t xml:space="preserve">ド </t>
    </rPh>
    <rPh sb="3" eb="6">
      <t>クリコセィ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</si>
</sst>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円&quot;"/>
    <numFmt numFmtId="177" formatCode="#,##0;&quot;△&quot;#,##0;&quot;―&quot;"/>
    <numFmt numFmtId="178" formatCode="#,##0&quot;円&quot;;\-#,##0&quot;円&quot;;&quot;&quot;"/>
  </numFmts>
  <fonts count="1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 (本文)"/>
      <family val="3"/>
      <charset val="128"/>
    </font>
    <font>
      <sz val="12"/>
      <color theme="1"/>
      <name val="游ゴシック (本文)"/>
      <family val="3"/>
      <charset val="128"/>
    </font>
    <font>
      <b/>
      <sz val="12"/>
      <color theme="1"/>
      <name val="游ゴシック"/>
      <family val="3"/>
      <charset val="128"/>
    </font>
    <font>
      <b/>
      <sz val="12"/>
      <color theme="1"/>
      <name val="游ゴシック"/>
      <family val="3"/>
    </font>
    <font>
      <b/>
      <sz val="11"/>
      <color theme="1"/>
      <name val="游ゴシック"/>
      <family val="3"/>
    </font>
    <font>
      <b/>
      <sz val="9"/>
      <color theme="1"/>
      <name val="游ゴシック"/>
      <family val="3"/>
      <charset val="128"/>
    </font>
    <font>
      <b/>
      <sz val="5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5" fillId="0" borderId="6" xfId="0" applyFont="1" applyBorder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76" fontId="10" fillId="0" borderId="0" xfId="0" applyNumberFormat="1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>
      <alignment vertical="center"/>
    </xf>
    <xf numFmtId="176" fontId="10" fillId="0" borderId="8" xfId="0" applyNumberFormat="1" applyFont="1" applyBorder="1">
      <alignment vertical="center"/>
    </xf>
    <xf numFmtId="176" fontId="10" fillId="0" borderId="5" xfId="0" applyNumberFormat="1" applyFont="1" applyBorder="1">
      <alignment vertical="center"/>
    </xf>
    <xf numFmtId="177" fontId="10" fillId="0" borderId="5" xfId="0" applyNumberFormat="1" applyFont="1" applyBorder="1">
      <alignment vertical="center"/>
    </xf>
    <xf numFmtId="0" fontId="10" fillId="0" borderId="17" xfId="0" applyFont="1" applyBorder="1">
      <alignment vertical="center"/>
    </xf>
    <xf numFmtId="176" fontId="10" fillId="0" borderId="9" xfId="0" applyNumberFormat="1" applyFont="1" applyBorder="1">
      <alignment vertical="center"/>
    </xf>
    <xf numFmtId="176" fontId="10" fillId="0" borderId="1" xfId="0" applyNumberFormat="1" applyFont="1" applyBorder="1">
      <alignment vertical="center"/>
    </xf>
    <xf numFmtId="177" fontId="10" fillId="0" borderId="1" xfId="0" applyNumberFormat="1" applyFont="1" applyBorder="1">
      <alignment vertical="center"/>
    </xf>
    <xf numFmtId="0" fontId="10" fillId="0" borderId="18" xfId="0" applyFont="1" applyBorder="1">
      <alignment vertical="center"/>
    </xf>
    <xf numFmtId="176" fontId="10" fillId="0" borderId="7" xfId="0" applyNumberFormat="1" applyFont="1" applyBorder="1">
      <alignment vertical="center"/>
    </xf>
    <xf numFmtId="176" fontId="10" fillId="0" borderId="4" xfId="0" applyNumberFormat="1" applyFont="1" applyBorder="1">
      <alignment vertical="center"/>
    </xf>
    <xf numFmtId="177" fontId="10" fillId="0" borderId="4" xfId="0" applyNumberFormat="1" applyFont="1" applyBorder="1">
      <alignment vertical="center"/>
    </xf>
    <xf numFmtId="176" fontId="10" fillId="0" borderId="20" xfId="0" applyNumberFormat="1" applyFont="1" applyBorder="1">
      <alignment vertical="center"/>
    </xf>
    <xf numFmtId="177" fontId="10" fillId="0" borderId="21" xfId="0" applyNumberFormat="1" applyFont="1" applyBorder="1">
      <alignment vertical="center"/>
    </xf>
    <xf numFmtId="0" fontId="10" fillId="0" borderId="22" xfId="0" applyFont="1" applyBorder="1">
      <alignment vertical="center"/>
    </xf>
    <xf numFmtId="176" fontId="5" fillId="0" borderId="0" xfId="0" applyNumberFormat="1" applyFont="1">
      <alignment vertical="center"/>
    </xf>
    <xf numFmtId="0" fontId="12" fillId="0" borderId="0" xfId="0" applyFont="1">
      <alignment vertical="center"/>
    </xf>
    <xf numFmtId="0" fontId="0" fillId="0" borderId="23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3" xfId="0" applyFont="1" applyBorder="1">
      <alignment vertical="center"/>
    </xf>
    <xf numFmtId="0" fontId="0" fillId="0" borderId="23" xfId="0" applyBorder="1" applyAlignment="1">
      <alignment horizontal="right" vertical="center"/>
    </xf>
    <xf numFmtId="178" fontId="10" fillId="0" borderId="5" xfId="0" applyNumberFormat="1" applyFont="1" applyBorder="1">
      <alignment vertical="center"/>
    </xf>
    <xf numFmtId="178" fontId="10" fillId="0" borderId="1" xfId="0" applyNumberFormat="1" applyFont="1" applyBorder="1">
      <alignment vertical="center"/>
    </xf>
    <xf numFmtId="178" fontId="10" fillId="0" borderId="4" xfId="0" applyNumberFormat="1" applyFont="1" applyBorder="1">
      <alignment vertical="center"/>
    </xf>
    <xf numFmtId="178" fontId="10" fillId="0" borderId="21" xfId="0" applyNumberFormat="1" applyFont="1" applyBorder="1">
      <alignment vertical="center"/>
    </xf>
    <xf numFmtId="178" fontId="11" fillId="0" borderId="0" xfId="0" applyNumberFormat="1" applyFont="1">
      <alignment vertical="center"/>
    </xf>
    <xf numFmtId="0" fontId="13" fillId="0" borderId="6" xfId="0" applyFont="1" applyBorder="1">
      <alignment vertical="center"/>
    </xf>
    <xf numFmtId="0" fontId="13" fillId="0" borderId="11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10" xfId="0" applyFont="1" applyBorder="1">
      <alignment vertical="center"/>
    </xf>
    <xf numFmtId="0" fontId="17" fillId="0" borderId="10" xfId="0" applyFont="1" applyBorder="1">
      <alignment vertical="center"/>
    </xf>
    <xf numFmtId="0" fontId="14" fillId="0" borderId="11" xfId="0" applyFont="1" applyBorder="1">
      <alignment vertical="center"/>
    </xf>
    <xf numFmtId="0" fontId="18" fillId="0" borderId="6" xfId="0" applyFont="1" applyBorder="1">
      <alignment vertical="center"/>
    </xf>
    <xf numFmtId="0" fontId="1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2" fillId="0" borderId="18" xfId="0" applyFont="1" applyBorder="1">
      <alignment vertical="center"/>
    </xf>
    <xf numFmtId="0" fontId="0" fillId="0" borderId="0" xfId="0" applyAlignment="1">
      <alignment horizontal="right" vertical="center"/>
    </xf>
    <xf numFmtId="0" fontId="10" fillId="0" borderId="19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7" fillId="0" borderId="6" xfId="0" applyFont="1" applyBorder="1">
      <alignment vertical="center"/>
    </xf>
    <xf numFmtId="0" fontId="12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4" fillId="0" borderId="24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2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Protection="1">
      <alignment vertical="center"/>
      <protection locked="0"/>
    </xf>
    <xf numFmtId="176" fontId="10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Protection="1">
      <alignment vertical="center"/>
      <protection locked="0"/>
    </xf>
    <xf numFmtId="176" fontId="5" fillId="0" borderId="0" xfId="0" applyNumberFormat="1" applyFont="1" applyAlignment="1" applyProtection="1">
      <alignment horizontal="right" vertical="center"/>
      <protection locked="0"/>
    </xf>
    <xf numFmtId="176" fontId="10" fillId="0" borderId="20" xfId="0" applyNumberFormat="1" applyFont="1" applyBorder="1" applyProtection="1">
      <alignment vertical="center"/>
      <protection locked="0"/>
    </xf>
    <xf numFmtId="176" fontId="10" fillId="0" borderId="5" xfId="0" applyNumberFormat="1" applyFont="1" applyBorder="1" applyProtection="1">
      <alignment vertical="center"/>
      <protection locked="0"/>
    </xf>
    <xf numFmtId="176" fontId="10" fillId="0" borderId="0" xfId="0" applyNumberFormat="1" applyFont="1" applyAlignment="1" applyProtection="1">
      <alignment horizontal="center" vertical="center"/>
    </xf>
    <xf numFmtId="0" fontId="11" fillId="0" borderId="0" xfId="0" applyFont="1" applyProtection="1">
      <alignment vertical="center"/>
    </xf>
    <xf numFmtId="176" fontId="10" fillId="0" borderId="26" xfId="0" applyNumberFormat="1" applyFont="1" applyBorder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2918BB-7610-C343-BAA0-7B3005FDA62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A85A-FC0A-534A-A4DB-6468C3824190}">
  <dimension ref="A1:F53"/>
  <sheetViews>
    <sheetView zoomScale="151" zoomScaleNormal="151" workbookViewId="0">
      <selection activeCell="F5" sqref="F5"/>
    </sheetView>
  </sheetViews>
  <sheetFormatPr baseColWidth="10" defaultRowHeight="20"/>
  <cols>
    <col min="1" max="1" width="5.85546875" customWidth="1"/>
    <col min="2" max="2" width="5.7109375" customWidth="1"/>
    <col min="3" max="4" width="12.85546875" customWidth="1"/>
    <col min="5" max="6" width="15.7109375" customWidth="1"/>
    <col min="8" max="9" width="15.7109375" bestFit="1" customWidth="1"/>
  </cols>
  <sheetData>
    <row r="1" spans="1:6" ht="18" customHeight="1">
      <c r="A1" s="66" t="s">
        <v>5</v>
      </c>
      <c r="B1" s="67"/>
      <c r="C1" s="67"/>
      <c r="D1" s="67"/>
      <c r="E1" s="67"/>
      <c r="F1" s="67"/>
    </row>
    <row r="2" spans="1:6" ht="18" customHeight="1"/>
    <row r="3" spans="1:6" ht="18" customHeight="1"/>
    <row r="4" spans="1:6" ht="16" customHeight="1">
      <c r="A4" s="1" t="s">
        <v>1</v>
      </c>
      <c r="B4" s="1" t="s">
        <v>2</v>
      </c>
      <c r="C4" s="1" t="s">
        <v>87</v>
      </c>
      <c r="D4" s="1" t="s">
        <v>88</v>
      </c>
      <c r="E4" s="1" t="s">
        <v>3</v>
      </c>
      <c r="F4" s="1" t="s">
        <v>4</v>
      </c>
    </row>
    <row r="5" spans="1:6" ht="13" customHeight="1">
      <c r="A5" s="2"/>
      <c r="B5" s="2"/>
      <c r="C5" s="2"/>
      <c r="D5" s="2"/>
      <c r="E5" s="2"/>
      <c r="F5" s="2"/>
    </row>
    <row r="6" spans="1:6" ht="13" customHeight="1">
      <c r="A6" s="2"/>
      <c r="B6" s="2"/>
      <c r="C6" s="2"/>
      <c r="D6" s="2"/>
      <c r="E6" s="2"/>
      <c r="F6" s="2"/>
    </row>
    <row r="7" spans="1:6" ht="13" customHeight="1">
      <c r="A7" s="2"/>
      <c r="B7" s="2"/>
      <c r="C7" s="2"/>
      <c r="D7" s="2"/>
      <c r="E7" s="2"/>
      <c r="F7" s="2"/>
    </row>
    <row r="8" spans="1:6" ht="13" customHeight="1">
      <c r="A8" s="2"/>
      <c r="B8" s="2"/>
      <c r="C8" s="2"/>
      <c r="D8" s="2"/>
      <c r="E8" s="2"/>
      <c r="F8" s="2"/>
    </row>
    <row r="9" spans="1:6" ht="13" customHeight="1">
      <c r="A9" s="2"/>
      <c r="B9" s="2"/>
      <c r="C9" s="2"/>
      <c r="D9" s="2"/>
      <c r="E9" s="2"/>
      <c r="F9" s="2"/>
    </row>
    <row r="10" spans="1:6" ht="13" customHeight="1">
      <c r="A10" s="2"/>
      <c r="B10" s="2"/>
      <c r="C10" s="2"/>
      <c r="D10" s="2"/>
      <c r="E10" s="2"/>
      <c r="F10" s="2"/>
    </row>
    <row r="11" spans="1:6" ht="13" customHeight="1">
      <c r="A11" s="2"/>
      <c r="B11" s="2"/>
      <c r="C11" s="2"/>
      <c r="D11" s="2"/>
      <c r="E11" s="2"/>
      <c r="F11" s="2"/>
    </row>
    <row r="12" spans="1:6" ht="13" customHeight="1">
      <c r="A12" s="2"/>
      <c r="B12" s="2"/>
      <c r="C12" s="2"/>
      <c r="D12" s="2"/>
      <c r="E12" s="2"/>
      <c r="F12" s="2"/>
    </row>
    <row r="13" spans="1:6" ht="13" customHeight="1">
      <c r="A13" s="2"/>
      <c r="B13" s="2"/>
      <c r="C13" s="2"/>
      <c r="D13" s="2"/>
      <c r="E13" s="2"/>
      <c r="F13" s="2"/>
    </row>
    <row r="14" spans="1:6" ht="13" customHeight="1">
      <c r="A14" s="2"/>
      <c r="B14" s="2"/>
      <c r="C14" s="2"/>
      <c r="D14" s="2"/>
      <c r="E14" s="2"/>
      <c r="F14" s="2"/>
    </row>
    <row r="15" spans="1:6" ht="13" customHeight="1">
      <c r="A15" s="2"/>
      <c r="B15" s="2"/>
      <c r="C15" s="2"/>
      <c r="D15" s="2"/>
      <c r="E15" s="2"/>
      <c r="F15" s="2"/>
    </row>
    <row r="16" spans="1:6" ht="13" customHeight="1">
      <c r="A16" s="2"/>
      <c r="B16" s="2"/>
      <c r="C16" s="2"/>
      <c r="D16" s="2"/>
      <c r="E16" s="2"/>
      <c r="F16" s="2"/>
    </row>
    <row r="17" spans="1:6" ht="13" customHeight="1">
      <c r="A17" s="2"/>
      <c r="B17" s="2"/>
      <c r="C17" s="2"/>
      <c r="D17" s="2"/>
      <c r="E17" s="2"/>
      <c r="F17" s="2"/>
    </row>
    <row r="18" spans="1:6" ht="13" customHeight="1">
      <c r="A18" s="2"/>
      <c r="B18" s="2"/>
      <c r="C18" s="2"/>
      <c r="D18" s="2"/>
      <c r="E18" s="2"/>
      <c r="F18" s="2"/>
    </row>
    <row r="19" spans="1:6" ht="13" customHeight="1">
      <c r="A19" s="2"/>
      <c r="B19" s="2"/>
      <c r="C19" s="2"/>
      <c r="D19" s="2"/>
      <c r="E19" s="2"/>
      <c r="F19" s="2"/>
    </row>
    <row r="20" spans="1:6" ht="13" customHeight="1">
      <c r="A20" s="2"/>
      <c r="B20" s="2"/>
      <c r="C20" s="2"/>
      <c r="D20" s="2"/>
      <c r="E20" s="2"/>
      <c r="F20" s="2"/>
    </row>
    <row r="21" spans="1:6" ht="13" customHeight="1">
      <c r="A21" s="2"/>
      <c r="B21" s="2"/>
      <c r="C21" s="2"/>
      <c r="D21" s="2"/>
      <c r="E21" s="2"/>
      <c r="F21" s="2"/>
    </row>
    <row r="22" spans="1:6" ht="13" customHeight="1">
      <c r="A22" s="2"/>
      <c r="B22" s="2"/>
      <c r="C22" s="2"/>
      <c r="D22" s="2"/>
      <c r="E22" s="2"/>
      <c r="F22" s="2"/>
    </row>
    <row r="23" spans="1:6" ht="13" customHeight="1">
      <c r="A23" s="2"/>
      <c r="B23" s="2"/>
      <c r="C23" s="2"/>
      <c r="D23" s="2"/>
      <c r="E23" s="2"/>
      <c r="F23" s="2"/>
    </row>
    <row r="24" spans="1:6" ht="13" customHeight="1">
      <c r="A24" s="2"/>
      <c r="B24" s="2"/>
      <c r="C24" s="2"/>
      <c r="D24" s="2"/>
      <c r="E24" s="2"/>
      <c r="F24" s="2"/>
    </row>
    <row r="25" spans="1:6" ht="13" customHeight="1">
      <c r="A25" s="2"/>
      <c r="B25" s="2"/>
      <c r="C25" s="2"/>
      <c r="D25" s="2"/>
      <c r="E25" s="2"/>
      <c r="F25" s="2"/>
    </row>
    <row r="26" spans="1:6" ht="13" customHeight="1">
      <c r="A26" s="2"/>
      <c r="B26" s="2"/>
      <c r="C26" s="2"/>
      <c r="D26" s="2"/>
      <c r="E26" s="2"/>
      <c r="F26" s="2"/>
    </row>
    <row r="27" spans="1:6" ht="13" customHeight="1">
      <c r="A27" s="2"/>
      <c r="B27" s="2"/>
      <c r="C27" s="2"/>
      <c r="D27" s="2"/>
      <c r="E27" s="2"/>
      <c r="F27" s="2"/>
    </row>
    <row r="28" spans="1:6" ht="13" customHeight="1">
      <c r="A28" s="2"/>
      <c r="B28" s="2"/>
      <c r="C28" s="2"/>
      <c r="D28" s="2"/>
      <c r="E28" s="2"/>
      <c r="F28" s="2"/>
    </row>
    <row r="29" spans="1:6" ht="13" customHeight="1">
      <c r="A29" s="2"/>
      <c r="B29" s="2"/>
      <c r="C29" s="2"/>
      <c r="D29" s="2"/>
      <c r="E29" s="2"/>
      <c r="F29" s="2"/>
    </row>
    <row r="30" spans="1:6" ht="13" customHeight="1">
      <c r="A30" s="2"/>
      <c r="B30" s="2"/>
      <c r="C30" s="2"/>
      <c r="D30" s="2"/>
      <c r="E30" s="2"/>
      <c r="F30" s="2"/>
    </row>
    <row r="31" spans="1:6" ht="13" customHeight="1">
      <c r="A31" s="2"/>
      <c r="B31" s="2"/>
      <c r="C31" s="2"/>
      <c r="D31" s="2"/>
      <c r="E31" s="2"/>
      <c r="F31" s="2"/>
    </row>
    <row r="32" spans="1:6" ht="13" customHeight="1">
      <c r="A32" s="2"/>
      <c r="B32" s="2"/>
      <c r="C32" s="2"/>
      <c r="D32" s="2"/>
      <c r="E32" s="2"/>
      <c r="F32" s="2"/>
    </row>
    <row r="33" spans="1:6" ht="13" customHeight="1">
      <c r="A33" s="2"/>
      <c r="B33" s="2"/>
      <c r="C33" s="2"/>
      <c r="D33" s="2"/>
      <c r="E33" s="2"/>
      <c r="F33" s="2"/>
    </row>
    <row r="34" spans="1:6" ht="13" customHeight="1">
      <c r="A34" s="2"/>
      <c r="B34" s="2"/>
      <c r="C34" s="2"/>
      <c r="D34" s="2"/>
      <c r="E34" s="2"/>
      <c r="F34" s="2"/>
    </row>
    <row r="35" spans="1:6" ht="13" customHeight="1">
      <c r="A35" s="2"/>
      <c r="B35" s="2"/>
      <c r="C35" s="2"/>
      <c r="D35" s="2"/>
      <c r="E35" s="2"/>
      <c r="F35" s="2"/>
    </row>
    <row r="36" spans="1:6" ht="13" customHeight="1">
      <c r="A36" s="2"/>
      <c r="B36" s="2"/>
      <c r="C36" s="2"/>
      <c r="D36" s="2"/>
      <c r="E36" s="2"/>
      <c r="F36" s="2"/>
    </row>
    <row r="37" spans="1:6" ht="13" customHeight="1">
      <c r="A37" s="2"/>
      <c r="B37" s="2"/>
      <c r="C37" s="2"/>
      <c r="D37" s="2"/>
      <c r="E37" s="2"/>
      <c r="F37" s="2"/>
    </row>
    <row r="38" spans="1:6" ht="13" customHeight="1">
      <c r="A38" s="2"/>
      <c r="B38" s="2"/>
      <c r="C38" s="2"/>
      <c r="D38" s="2"/>
      <c r="E38" s="2"/>
      <c r="F38" s="2"/>
    </row>
    <row r="39" spans="1:6" ht="13" customHeight="1">
      <c r="A39" s="2"/>
      <c r="B39" s="2"/>
      <c r="C39" s="2"/>
      <c r="D39" s="2"/>
      <c r="E39" s="2"/>
      <c r="F39" s="2"/>
    </row>
    <row r="40" spans="1:6" ht="13" customHeight="1">
      <c r="A40" s="2"/>
      <c r="B40" s="2"/>
      <c r="C40" s="2"/>
      <c r="D40" s="2"/>
      <c r="E40" s="2"/>
      <c r="F40" s="2"/>
    </row>
    <row r="41" spans="1:6" ht="13" customHeight="1">
      <c r="A41" s="2"/>
      <c r="B41" s="2"/>
      <c r="C41" s="2"/>
      <c r="D41" s="2"/>
      <c r="E41" s="2"/>
      <c r="F41" s="2"/>
    </row>
    <row r="42" spans="1:6" ht="13" customHeight="1">
      <c r="A42" s="2"/>
      <c r="B42" s="2"/>
      <c r="C42" s="2"/>
      <c r="D42" s="2"/>
      <c r="E42" s="2"/>
      <c r="F42" s="2"/>
    </row>
    <row r="43" spans="1:6" ht="13" customHeight="1">
      <c r="A43" s="2"/>
      <c r="B43" s="2"/>
      <c r="C43" s="2"/>
      <c r="D43" s="2"/>
      <c r="E43" s="2"/>
      <c r="F43" s="2"/>
    </row>
    <row r="44" spans="1:6" ht="13" customHeight="1">
      <c r="A44" s="2"/>
      <c r="B44" s="2"/>
      <c r="C44" s="2"/>
      <c r="D44" s="2"/>
      <c r="E44" s="2"/>
      <c r="F44" s="2"/>
    </row>
    <row r="45" spans="1:6" ht="13" customHeight="1">
      <c r="A45" s="61"/>
      <c r="B45" s="61"/>
      <c r="C45" s="61"/>
      <c r="D45" s="61"/>
      <c r="E45" s="61"/>
      <c r="F45" s="61"/>
    </row>
    <row r="46" spans="1:6" ht="13" customHeight="1">
      <c r="A46" s="62"/>
      <c r="B46" s="62"/>
      <c r="C46" s="62"/>
      <c r="D46" s="62"/>
      <c r="E46" s="62"/>
      <c r="F46" s="62"/>
    </row>
    <row r="47" spans="1:6" ht="13" customHeight="1">
      <c r="A47" s="62"/>
      <c r="B47" s="62"/>
      <c r="C47" s="62"/>
      <c r="D47" s="62"/>
      <c r="E47" s="62"/>
      <c r="F47" s="62"/>
    </row>
    <row r="48" spans="1:6" ht="13" customHeight="1">
      <c r="A48" s="62"/>
      <c r="B48" s="62"/>
      <c r="C48" s="62"/>
      <c r="D48" s="62"/>
      <c r="E48" s="62"/>
      <c r="F48" s="62"/>
    </row>
    <row r="49" spans="1:6" ht="13" customHeight="1">
      <c r="A49" s="62"/>
      <c r="B49" s="62"/>
      <c r="C49" s="62"/>
      <c r="D49" s="62"/>
      <c r="E49" s="62"/>
      <c r="F49" s="62"/>
    </row>
    <row r="50" spans="1:6" ht="13" customHeight="1">
      <c r="A50" s="62"/>
      <c r="B50" s="62"/>
      <c r="C50" s="62"/>
      <c r="D50" s="62"/>
      <c r="E50" s="62"/>
      <c r="F50" s="62"/>
    </row>
    <row r="51" spans="1:6" ht="13" customHeight="1">
      <c r="A51" s="62"/>
      <c r="B51" s="62"/>
      <c r="C51" s="62"/>
      <c r="D51" s="62"/>
      <c r="E51" s="62"/>
      <c r="F51" s="62"/>
    </row>
    <row r="52" spans="1:6" ht="13" customHeight="1">
      <c r="A52" s="62"/>
      <c r="B52" s="62"/>
      <c r="C52" s="62"/>
      <c r="D52" s="62"/>
      <c r="E52" s="62"/>
      <c r="F52" s="62"/>
    </row>
    <row r="53" spans="1:6">
      <c r="A53" s="68" t="s">
        <v>90</v>
      </c>
      <c r="B53" s="68"/>
      <c r="C53" s="62">
        <f>SUM(C5:C52)</f>
        <v>0</v>
      </c>
      <c r="D53" s="62">
        <f>SUM(D5:D52)</f>
        <v>0</v>
      </c>
      <c r="E53" s="62"/>
      <c r="F53" s="62"/>
    </row>
  </sheetData>
  <mergeCells count="2">
    <mergeCell ref="A1:F1"/>
    <mergeCell ref="A53:B53"/>
  </mergeCells>
  <phoneticPr fontId="1"/>
  <dataValidations count="3">
    <dataValidation type="list" allowBlank="1" showInputMessage="1" showErrorMessage="1" promptTitle="月" prompt="1〜12の月を選択してください" sqref="A5:A45" xr:uid="{44882D68-A166-7149-877D-FBAE0E73772C}">
      <formula1>"1,2,3,4,5,6,7,8,9,10,11,12"</formula1>
    </dataValidation>
    <dataValidation type="list" allowBlank="1" showInputMessage="1" showErrorMessage="1" promptTitle="日" prompt="1〜31の日を選択してください" sqref="B5:B45" xr:uid="{9C4D401D-43D3-944E-AAAB-F64D8F7D1421}">
      <formula1>"1,2,3,4,5,6,7,8,9,10,11,12,13,14,15,16,17,18,19,20,21,22,23,24,25,26,27,28,29,30,31"</formula1>
    </dataValidation>
    <dataValidation type="list" errorStyle="warning" allowBlank="1" showInputMessage="1" showErrorMessage="1" errorTitle="確認" error="リストにない項目です。このまま入力しますか？" promptTitle="項目" prompt="リストから選択、または自由に入力できます" sqref="F5:F45" xr:uid="{7FB7BD52-084E-5B48-8970-E0FE58C1B276}">
      <formula1>"前年度繰越金,自治会費,会費,資源ごみ回収,手数料収入,預金利息,積立金,予備・雑費等,その他,新年会・慰労会費,各種会費,協賛・助成金,協力金・募金,営繕・管理費,慶長・見舞金,会議費"</formula1>
    </dataValidation>
  </dataValidations>
  <printOptions horizontalCentered="1" verticalCentered="1"/>
  <pageMargins left="1.0416666666666666E-2" right="1.0416666666666666E-2" top="1.1111111111111112E-2" bottom="1.1111111111111112E-2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B8BD-C35D-C148-A208-7140EFEB3FB6}">
  <dimension ref="A1:F53"/>
  <sheetViews>
    <sheetView topLeftCell="A28" zoomScale="117" zoomScaleNormal="151" workbookViewId="0">
      <selection activeCell="C49" sqref="C49"/>
    </sheetView>
  </sheetViews>
  <sheetFormatPr baseColWidth="10" defaultRowHeight="20"/>
  <cols>
    <col min="1" max="1" width="5.85546875" customWidth="1"/>
    <col min="2" max="2" width="5.7109375" customWidth="1"/>
    <col min="3" max="4" width="12.85546875" customWidth="1"/>
    <col min="5" max="6" width="15.7109375" customWidth="1"/>
    <col min="8" max="9" width="15.7109375" bestFit="1" customWidth="1"/>
  </cols>
  <sheetData>
    <row r="1" spans="1:6" ht="18" customHeight="1">
      <c r="A1" s="66" t="s">
        <v>6</v>
      </c>
      <c r="B1" s="67"/>
      <c r="C1" s="67"/>
      <c r="D1" s="67"/>
      <c r="E1" s="67"/>
      <c r="F1" s="67"/>
    </row>
    <row r="2" spans="1:6" ht="18" customHeight="1"/>
    <row r="3" spans="1:6" ht="18" customHeight="1"/>
    <row r="4" spans="1:6" ht="16" customHeight="1">
      <c r="A4" s="1" t="s">
        <v>1</v>
      </c>
      <c r="B4" s="1" t="s">
        <v>2</v>
      </c>
      <c r="C4" s="1" t="s">
        <v>87</v>
      </c>
      <c r="D4" s="1" t="s">
        <v>88</v>
      </c>
      <c r="E4" s="1" t="s">
        <v>3</v>
      </c>
      <c r="F4" s="1" t="s">
        <v>4</v>
      </c>
    </row>
    <row r="5" spans="1:6" ht="13" customHeight="1">
      <c r="A5" s="2"/>
      <c r="B5" s="2"/>
      <c r="C5" s="2"/>
      <c r="D5" s="2"/>
      <c r="E5" s="2"/>
      <c r="F5" s="2"/>
    </row>
    <row r="6" spans="1:6" ht="13" customHeight="1">
      <c r="A6" s="2"/>
      <c r="B6" s="2"/>
      <c r="C6" s="2"/>
      <c r="D6" s="2"/>
      <c r="E6" s="2"/>
      <c r="F6" s="2"/>
    </row>
    <row r="7" spans="1:6" ht="13" customHeight="1">
      <c r="A7" s="2"/>
      <c r="B7" s="2"/>
      <c r="C7" s="2"/>
      <c r="D7" s="2"/>
      <c r="E7" s="2"/>
      <c r="F7" s="2"/>
    </row>
    <row r="8" spans="1:6" ht="13" customHeight="1">
      <c r="A8" s="2"/>
      <c r="B8" s="2"/>
      <c r="C8" s="2"/>
      <c r="D8" s="2"/>
      <c r="E8" s="2"/>
      <c r="F8" s="2"/>
    </row>
    <row r="9" spans="1:6" ht="13" customHeight="1">
      <c r="A9" s="2"/>
      <c r="B9" s="2"/>
      <c r="C9" s="2"/>
      <c r="D9" s="2"/>
      <c r="E9" s="2"/>
      <c r="F9" s="2"/>
    </row>
    <row r="10" spans="1:6" ht="13" customHeight="1">
      <c r="A10" s="2"/>
      <c r="B10" s="2"/>
      <c r="C10" s="2"/>
      <c r="D10" s="2"/>
      <c r="E10" s="2"/>
      <c r="F10" s="2"/>
    </row>
    <row r="11" spans="1:6" ht="13" customHeight="1">
      <c r="A11" s="2"/>
      <c r="B11" s="2"/>
      <c r="C11" s="2"/>
      <c r="D11" s="2"/>
      <c r="E11" s="2"/>
      <c r="F11" s="2"/>
    </row>
    <row r="12" spans="1:6" ht="13" customHeight="1">
      <c r="A12" s="2"/>
      <c r="B12" s="2"/>
      <c r="C12" s="2"/>
      <c r="D12" s="2"/>
      <c r="E12" s="2"/>
      <c r="F12" s="2"/>
    </row>
    <row r="13" spans="1:6" ht="13" customHeight="1">
      <c r="A13" s="2"/>
      <c r="B13" s="2"/>
      <c r="C13" s="2"/>
      <c r="D13" s="2"/>
      <c r="E13" s="2"/>
      <c r="F13" s="2"/>
    </row>
    <row r="14" spans="1:6" ht="13" customHeight="1">
      <c r="A14" s="2"/>
      <c r="B14" s="2"/>
      <c r="C14" s="2"/>
      <c r="D14" s="2"/>
      <c r="E14" s="2"/>
      <c r="F14" s="2"/>
    </row>
    <row r="15" spans="1:6" ht="13" customHeight="1">
      <c r="A15" s="2"/>
      <c r="B15" s="2"/>
      <c r="C15" s="2"/>
      <c r="D15" s="2"/>
      <c r="E15" s="2"/>
      <c r="F15" s="2"/>
    </row>
    <row r="16" spans="1:6" ht="13" customHeight="1">
      <c r="A16" s="2"/>
      <c r="B16" s="2"/>
      <c r="C16" s="2"/>
      <c r="D16" s="2"/>
      <c r="E16" s="2"/>
      <c r="F16" s="2"/>
    </row>
    <row r="17" spans="1:6" ht="13" customHeight="1">
      <c r="A17" s="2"/>
      <c r="B17" s="2"/>
      <c r="C17" s="2"/>
      <c r="D17" s="2"/>
      <c r="E17" s="2"/>
      <c r="F17" s="2"/>
    </row>
    <row r="18" spans="1:6" ht="13" customHeight="1">
      <c r="A18" s="2"/>
      <c r="B18" s="2"/>
      <c r="C18" s="2"/>
      <c r="D18" s="2"/>
      <c r="E18" s="2"/>
      <c r="F18" s="2"/>
    </row>
    <row r="19" spans="1:6" ht="13" customHeight="1">
      <c r="A19" s="2"/>
      <c r="B19" s="2"/>
      <c r="C19" s="2"/>
      <c r="D19" s="2"/>
      <c r="E19" s="2"/>
      <c r="F19" s="2"/>
    </row>
    <row r="20" spans="1:6" ht="13" customHeight="1">
      <c r="A20" s="2"/>
      <c r="B20" s="2"/>
      <c r="C20" s="2"/>
      <c r="D20" s="2"/>
      <c r="E20" s="2"/>
      <c r="F20" s="2"/>
    </row>
    <row r="21" spans="1:6" ht="13" customHeight="1">
      <c r="A21" s="2"/>
      <c r="B21" s="2"/>
      <c r="C21" s="2"/>
      <c r="D21" s="2"/>
      <c r="E21" s="2"/>
      <c r="F21" s="2"/>
    </row>
    <row r="22" spans="1:6" ht="13" customHeight="1">
      <c r="A22" s="2"/>
      <c r="B22" s="2"/>
      <c r="C22" s="2"/>
      <c r="D22" s="2"/>
      <c r="E22" s="2"/>
      <c r="F22" s="2"/>
    </row>
    <row r="23" spans="1:6" ht="13" customHeight="1">
      <c r="A23" s="2"/>
      <c r="B23" s="2"/>
      <c r="C23" s="2"/>
      <c r="D23" s="2"/>
      <c r="E23" s="2"/>
      <c r="F23" s="2"/>
    </row>
    <row r="24" spans="1:6" ht="13" customHeight="1">
      <c r="A24" s="2"/>
      <c r="B24" s="2"/>
      <c r="C24" s="2"/>
      <c r="D24" s="2"/>
      <c r="E24" s="2"/>
      <c r="F24" s="2"/>
    </row>
    <row r="25" spans="1:6" ht="13" customHeight="1">
      <c r="A25" s="2"/>
      <c r="B25" s="2"/>
      <c r="C25" s="2"/>
      <c r="D25" s="2"/>
      <c r="E25" s="2"/>
      <c r="F25" s="2"/>
    </row>
    <row r="26" spans="1:6" ht="13" customHeight="1">
      <c r="A26" s="2"/>
      <c r="B26" s="2"/>
      <c r="C26" s="2"/>
      <c r="D26" s="2"/>
      <c r="E26" s="2"/>
      <c r="F26" s="2"/>
    </row>
    <row r="27" spans="1:6" ht="13" customHeight="1">
      <c r="A27" s="2"/>
      <c r="B27" s="2"/>
      <c r="C27" s="2"/>
      <c r="D27" s="2"/>
      <c r="E27" s="2"/>
      <c r="F27" s="2"/>
    </row>
    <row r="28" spans="1:6" ht="13" customHeight="1">
      <c r="A28" s="2"/>
      <c r="B28" s="2"/>
      <c r="C28" s="2"/>
      <c r="D28" s="2"/>
      <c r="E28" s="2"/>
      <c r="F28" s="2"/>
    </row>
    <row r="29" spans="1:6" ht="13" customHeight="1">
      <c r="A29" s="2"/>
      <c r="B29" s="2"/>
      <c r="C29" s="2"/>
      <c r="D29" s="2"/>
      <c r="E29" s="2"/>
      <c r="F29" s="2"/>
    </row>
    <row r="30" spans="1:6" ht="13" customHeight="1">
      <c r="A30" s="2"/>
      <c r="B30" s="2"/>
      <c r="C30" s="2"/>
      <c r="D30" s="2"/>
      <c r="E30" s="2"/>
      <c r="F30" s="2"/>
    </row>
    <row r="31" spans="1:6" ht="13" customHeight="1">
      <c r="A31" s="2"/>
      <c r="B31" s="2"/>
      <c r="C31" s="2"/>
      <c r="D31" s="2"/>
      <c r="E31" s="2"/>
      <c r="F31" s="2"/>
    </row>
    <row r="32" spans="1:6" ht="13" customHeight="1">
      <c r="A32" s="2"/>
      <c r="B32" s="2"/>
      <c r="C32" s="2"/>
      <c r="D32" s="2"/>
      <c r="E32" s="2"/>
      <c r="F32" s="2"/>
    </row>
    <row r="33" spans="1:6" ht="13" customHeight="1">
      <c r="A33" s="2"/>
      <c r="B33" s="2"/>
      <c r="C33" s="2"/>
      <c r="D33" s="2"/>
      <c r="E33" s="2"/>
      <c r="F33" s="2"/>
    </row>
    <row r="34" spans="1:6" ht="13" customHeight="1">
      <c r="A34" s="2"/>
      <c r="B34" s="2"/>
      <c r="C34" s="2"/>
      <c r="D34" s="2"/>
      <c r="E34" s="2"/>
      <c r="F34" s="2"/>
    </row>
    <row r="35" spans="1:6" ht="13" customHeight="1">
      <c r="A35" s="2"/>
      <c r="B35" s="2"/>
      <c r="C35" s="2"/>
      <c r="D35" s="2"/>
      <c r="E35" s="2"/>
      <c r="F35" s="2"/>
    </row>
    <row r="36" spans="1:6" ht="13" customHeight="1">
      <c r="A36" s="2"/>
      <c r="B36" s="2"/>
      <c r="C36" s="2"/>
      <c r="D36" s="2"/>
      <c r="E36" s="2"/>
      <c r="F36" s="2"/>
    </row>
    <row r="37" spans="1:6" ht="13" customHeight="1">
      <c r="A37" s="2"/>
      <c r="B37" s="2"/>
      <c r="C37" s="2"/>
      <c r="D37" s="2"/>
      <c r="E37" s="2"/>
      <c r="F37" s="2"/>
    </row>
    <row r="38" spans="1:6" ht="13" customHeight="1">
      <c r="A38" s="2"/>
      <c r="B38" s="2"/>
      <c r="C38" s="2"/>
      <c r="D38" s="2"/>
      <c r="E38" s="2"/>
      <c r="F38" s="2"/>
    </row>
    <row r="39" spans="1:6" ht="13" customHeight="1">
      <c r="A39" s="2"/>
      <c r="B39" s="2"/>
      <c r="C39" s="2"/>
      <c r="D39" s="2"/>
      <c r="E39" s="2"/>
      <c r="F39" s="2"/>
    </row>
    <row r="40" spans="1:6" ht="13" customHeight="1">
      <c r="A40" s="2"/>
      <c r="B40" s="2"/>
      <c r="C40" s="2"/>
      <c r="D40" s="2"/>
      <c r="E40" s="2"/>
      <c r="F40" s="2"/>
    </row>
    <row r="41" spans="1:6" ht="13" customHeight="1">
      <c r="A41" s="2"/>
      <c r="B41" s="2"/>
      <c r="C41" s="2"/>
      <c r="D41" s="2"/>
      <c r="E41" s="2"/>
      <c r="F41" s="2"/>
    </row>
    <row r="42" spans="1:6" ht="13" customHeight="1">
      <c r="A42" s="2"/>
      <c r="B42" s="2"/>
      <c r="C42" s="2"/>
      <c r="D42" s="2"/>
      <c r="E42" s="2"/>
      <c r="F42" s="2"/>
    </row>
    <row r="43" spans="1:6" ht="13" customHeight="1">
      <c r="A43" s="2"/>
      <c r="B43" s="2"/>
      <c r="C43" s="2"/>
      <c r="D43" s="2"/>
      <c r="E43" s="2"/>
      <c r="F43" s="2"/>
    </row>
    <row r="44" spans="1:6" ht="13" customHeight="1">
      <c r="A44" s="2"/>
      <c r="B44" s="2"/>
      <c r="C44" s="2"/>
      <c r="D44" s="2"/>
      <c r="E44" s="2"/>
      <c r="F44" s="2"/>
    </row>
    <row r="45" spans="1:6" ht="13" customHeight="1">
      <c r="A45" s="2"/>
      <c r="B45" s="2"/>
      <c r="C45" s="2"/>
      <c r="D45" s="2"/>
      <c r="E45" s="2"/>
      <c r="F45" s="2"/>
    </row>
    <row r="46" spans="1:6" ht="13" customHeight="1">
      <c r="A46" s="2"/>
      <c r="B46" s="2"/>
      <c r="C46" s="2"/>
      <c r="D46" s="2"/>
      <c r="E46" s="2"/>
      <c r="F46" s="2"/>
    </row>
    <row r="47" spans="1:6" ht="13" customHeight="1">
      <c r="A47" s="2"/>
      <c r="B47" s="2"/>
      <c r="C47" s="2"/>
      <c r="D47" s="2"/>
      <c r="E47" s="2"/>
      <c r="F47" s="2"/>
    </row>
    <row r="48" spans="1:6" ht="20" customHeight="1">
      <c r="A48" s="69" t="s">
        <v>97</v>
      </c>
      <c r="B48" s="70"/>
      <c r="C48" s="62">
        <f>SUMIF('収支（前期）'!F:F,"前年度繰越金",'収支（前期）'!C:C)+SUMIF('収支（後期）'!F5:F47,"前年度繰越金",'収支（後期）'!C5:C47)</f>
        <v>0</v>
      </c>
      <c r="D48" s="62"/>
      <c r="E48" s="62"/>
      <c r="F48" s="62"/>
    </row>
    <row r="49" spans="1:6" ht="20" customHeight="1">
      <c r="A49" s="69" t="s">
        <v>91</v>
      </c>
      <c r="B49" s="70"/>
      <c r="C49" s="62">
        <f>SUMIF('収支（前期）'!F:F,"自治会積立金",'収支（前期）'!C:C)+SUMIF('収支（後期）'!F5:F47,"自治会積立金",'収支（後期）'!C5:C47)</f>
        <v>0</v>
      </c>
      <c r="D49" s="62"/>
      <c r="E49" s="62"/>
      <c r="F49" s="62"/>
    </row>
    <row r="50" spans="1:6" ht="20" customHeight="1">
      <c r="A50" s="69" t="s">
        <v>92</v>
      </c>
      <c r="B50" s="70"/>
      <c r="C50" s="62"/>
      <c r="D50" s="62"/>
      <c r="E50" s="62"/>
      <c r="F50" s="62"/>
    </row>
    <row r="51" spans="1:6" ht="20" customHeight="1">
      <c r="A51" s="69" t="s">
        <v>93</v>
      </c>
      <c r="B51" s="70"/>
      <c r="C51" s="62">
        <f>SUM(C5:C47)</f>
        <v>0</v>
      </c>
      <c r="D51" s="62">
        <f>SUM(D5:D47)</f>
        <v>0</v>
      </c>
      <c r="E51" s="62"/>
      <c r="F51" s="62"/>
    </row>
    <row r="52" spans="1:6" ht="20" customHeight="1">
      <c r="A52" s="69" t="s">
        <v>94</v>
      </c>
      <c r="B52" s="70"/>
      <c r="C52" s="62">
        <f>SUM(C50:C51)</f>
        <v>0</v>
      </c>
      <c r="D52" s="62">
        <f>SUM(D50:D51)</f>
        <v>0</v>
      </c>
      <c r="E52" s="63"/>
      <c r="F52" s="63"/>
    </row>
    <row r="53" spans="1:6">
      <c r="A53" s="69" t="s">
        <v>98</v>
      </c>
      <c r="B53" s="70"/>
      <c r="C53" s="62"/>
      <c r="D53" s="62"/>
      <c r="E53" s="63" t="s">
        <v>96</v>
      </c>
      <c r="F53" s="62"/>
    </row>
  </sheetData>
  <mergeCells count="7">
    <mergeCell ref="A1:F1"/>
    <mergeCell ref="A53:B53"/>
    <mergeCell ref="A48:B48"/>
    <mergeCell ref="A49:B49"/>
    <mergeCell ref="A50:B50"/>
    <mergeCell ref="A51:B51"/>
    <mergeCell ref="A52:B52"/>
  </mergeCells>
  <phoneticPr fontId="1"/>
  <dataValidations count="3">
    <dataValidation type="list" errorStyle="warning" allowBlank="1" showInputMessage="1" showErrorMessage="1" errorTitle="確認" error="リストにない項目です。このまま入力しますか？" promptTitle="項目" prompt="リストから選択、または自由に入力できます" sqref="F5:F47" xr:uid="{656C6498-9BFA-5D4B-A9AF-7B45746F8A28}">
      <formula1>"前年度繰越金,自治会費,会費,資源ごみ回収,手数料収入,預金利息,積立金,予備・雑費等,その他,新年会・慰労会費,各種会費,協賛・助成金,協力金・募金,営繕・管理費,慶長・見舞金,会議費"</formula1>
    </dataValidation>
    <dataValidation type="list" allowBlank="1" showInputMessage="1" showErrorMessage="1" promptTitle="日" prompt="1〜31の日を選択してください" sqref="B5:B47" xr:uid="{DA7E5D12-562D-CB47-8A76-276B94AB2394}">
      <formula1>"1,2,3,4,5,6,7,8,9,10,11,12,13,14,15,16,17,18,19,20,21,22,23,24,25,26,27,28,29,30,31"</formula1>
    </dataValidation>
    <dataValidation type="list" allowBlank="1" showInputMessage="1" showErrorMessage="1" promptTitle="月" prompt="1〜12の月を選択してください" sqref="A5:A47" xr:uid="{A6D01D70-4E5E-8940-A254-EB33BAC76171}">
      <formula1>"1,2,3,4,5,6,7,8,9,10,11,12"</formula1>
    </dataValidation>
  </dataValidations>
  <printOptions horizontalCentered="1" verticalCentered="1"/>
  <pageMargins left="1.0416666666666666E-2" right="1.0416666666666666E-2" top="1.1111111111111112E-2" bottom="1.1111111111111112E-2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D1C1-88FC-0142-964A-B037051256F3}">
  <dimension ref="A1:F23"/>
  <sheetViews>
    <sheetView workbookViewId="0">
      <selection activeCell="B5" sqref="B5"/>
    </sheetView>
  </sheetViews>
  <sheetFormatPr baseColWidth="10" defaultRowHeight="20"/>
  <cols>
    <col min="1" max="1" width="11.42578125" customWidth="1"/>
    <col min="2" max="4" width="17.140625" customWidth="1"/>
  </cols>
  <sheetData>
    <row r="1" spans="1:6" ht="24">
      <c r="A1" s="67" t="s">
        <v>7</v>
      </c>
      <c r="B1" s="67"/>
      <c r="C1" s="67"/>
      <c r="D1" s="67"/>
      <c r="E1" s="67"/>
      <c r="F1" s="67"/>
    </row>
    <row r="3" spans="1:6">
      <c r="A3" s="3" t="s">
        <v>8</v>
      </c>
    </row>
    <row r="4" spans="1:6">
      <c r="A4" s="36" t="s">
        <v>0</v>
      </c>
      <c r="B4" s="36" t="s">
        <v>9</v>
      </c>
      <c r="C4" s="36" t="s">
        <v>10</v>
      </c>
      <c r="D4" s="36" t="s">
        <v>11</v>
      </c>
    </row>
    <row r="5" spans="1:6">
      <c r="A5" s="4" t="s">
        <v>12</v>
      </c>
      <c r="B5" s="5">
        <f>SUMIF('収支（前期）'!A:A,1,'収支（前期）'!C:C)</f>
        <v>0</v>
      </c>
      <c r="C5" s="5">
        <f>SUMIF('収支（前期）'!A:A,1,'収支（前期）'!D:D)</f>
        <v>0</v>
      </c>
      <c r="D5" s="5">
        <f t="shared" ref="D5:D11" si="0">B5-C5</f>
        <v>0</v>
      </c>
    </row>
    <row r="6" spans="1:6">
      <c r="A6" s="4" t="s">
        <v>13</v>
      </c>
      <c r="B6" s="5">
        <f>SUMIF('収支（前期）'!A:A,2,'収支（前期）'!C:C)</f>
        <v>0</v>
      </c>
      <c r="C6" s="5">
        <f>SUMIF('収支（前期）'!A:A,2,'収支（前期）'!D:D)</f>
        <v>0</v>
      </c>
      <c r="D6" s="5">
        <f t="shared" si="0"/>
        <v>0</v>
      </c>
    </row>
    <row r="7" spans="1:6">
      <c r="A7" s="4" t="s">
        <v>14</v>
      </c>
      <c r="B7" s="5">
        <f>SUMIF('収支（前期）'!A:A,3,'収支（前期）'!C:C)</f>
        <v>0</v>
      </c>
      <c r="C7" s="5">
        <f>SUMIF('収支（前期）'!A:A,3,'収支（前期）'!D:D)</f>
        <v>0</v>
      </c>
      <c r="D7" s="5">
        <f t="shared" si="0"/>
        <v>0</v>
      </c>
    </row>
    <row r="8" spans="1:6">
      <c r="A8" s="4" t="s">
        <v>15</v>
      </c>
      <c r="B8" s="5">
        <f>SUMIF('収支（前期）'!A:A,4,'収支（前期）'!C:C)</f>
        <v>0</v>
      </c>
      <c r="C8" s="5">
        <f>SUMIF('収支（前期）'!A:A,4,'収支（前期）'!D:D)</f>
        <v>0</v>
      </c>
      <c r="D8" s="5">
        <f t="shared" si="0"/>
        <v>0</v>
      </c>
    </row>
    <row r="9" spans="1:6">
      <c r="A9" s="4" t="s">
        <v>16</v>
      </c>
      <c r="B9" s="5">
        <f>SUMIF('収支（前期）'!A:A,5,'収支（前期）'!C:C)</f>
        <v>0</v>
      </c>
      <c r="C9" s="5">
        <f>SUMIF('収支（前期）'!A:A,5,'収支（前期）'!D:D)</f>
        <v>0</v>
      </c>
      <c r="D9" s="5">
        <f t="shared" si="0"/>
        <v>0</v>
      </c>
    </row>
    <row r="10" spans="1:6">
      <c r="A10" s="4" t="s">
        <v>17</v>
      </c>
      <c r="B10" s="5">
        <f>SUMIF('収支（前期）'!A:A,6,'収支（前期）'!C:C)</f>
        <v>0</v>
      </c>
      <c r="C10" s="5">
        <f>SUMIF('収支（前期）'!A:A,6,'収支（前期）'!D:D)</f>
        <v>0</v>
      </c>
      <c r="D10" s="5">
        <f t="shared" si="0"/>
        <v>0</v>
      </c>
    </row>
    <row r="11" spans="1:6">
      <c r="A11" s="36" t="s">
        <v>18</v>
      </c>
      <c r="B11" s="36">
        <f>SUM(B5:B10)</f>
        <v>0</v>
      </c>
      <c r="C11" s="36">
        <f>SUM(C5:C10)</f>
        <v>0</v>
      </c>
      <c r="D11" s="36">
        <f t="shared" si="0"/>
        <v>0</v>
      </c>
    </row>
    <row r="13" spans="1:6">
      <c r="A13" s="6" t="s">
        <v>19</v>
      </c>
    </row>
    <row r="14" spans="1:6">
      <c r="A14" s="36" t="s">
        <v>0</v>
      </c>
      <c r="B14" s="36" t="s">
        <v>9</v>
      </c>
      <c r="C14" s="36" t="s">
        <v>10</v>
      </c>
      <c r="D14" s="36" t="s">
        <v>11</v>
      </c>
    </row>
    <row r="15" spans="1:6">
      <c r="A15" s="4" t="s">
        <v>20</v>
      </c>
      <c r="B15" s="5">
        <f>SUMIF('収支（後期）'!A:A,7,'収支（後期）'!C:C)</f>
        <v>0</v>
      </c>
      <c r="C15" s="5">
        <f>SUMIF('収支（後期）'!A:A,7,'収支（後期）'!D:D)</f>
        <v>0</v>
      </c>
      <c r="D15" s="5">
        <f t="shared" ref="D15:D21" si="1">B15-C15</f>
        <v>0</v>
      </c>
    </row>
    <row r="16" spans="1:6">
      <c r="A16" s="4" t="s">
        <v>21</v>
      </c>
      <c r="B16" s="5">
        <f>SUMIF('収支（後期）'!A:A,8,'収支（後期）'!C:C)</f>
        <v>0</v>
      </c>
      <c r="C16" s="5">
        <f>SUMIF('収支（後期）'!A:A,8,'収支（後期）'!D:D)</f>
        <v>0</v>
      </c>
      <c r="D16" s="5">
        <f t="shared" si="1"/>
        <v>0</v>
      </c>
    </row>
    <row r="17" spans="1:4">
      <c r="A17" s="4" t="s">
        <v>22</v>
      </c>
      <c r="B17" s="5">
        <f>SUMIF('収支（後期）'!A:A,9,'収支（後期）'!C:C)</f>
        <v>0</v>
      </c>
      <c r="C17" s="5">
        <f>SUMIF('収支（後期）'!A:A,9,'収支（後期）'!D:D)</f>
        <v>0</v>
      </c>
      <c r="D17" s="5">
        <f t="shared" si="1"/>
        <v>0</v>
      </c>
    </row>
    <row r="18" spans="1:4">
      <c r="A18" s="4" t="s">
        <v>23</v>
      </c>
      <c r="B18" s="5">
        <f>SUMIF('収支（後期）'!A:A,10,'収支（後期）'!C:C)</f>
        <v>0</v>
      </c>
      <c r="C18" s="5">
        <f>SUMIF('収支（後期）'!A:A,10,'収支（後期）'!D:D)</f>
        <v>0</v>
      </c>
      <c r="D18" s="5">
        <f t="shared" si="1"/>
        <v>0</v>
      </c>
    </row>
    <row r="19" spans="1:4">
      <c r="A19" s="4" t="s">
        <v>24</v>
      </c>
      <c r="B19" s="5">
        <f>SUMIF('収支（後期）'!A:A,11,'収支（後期）'!C:C)</f>
        <v>0</v>
      </c>
      <c r="C19" s="5">
        <f>SUMIF('収支（後期）'!A:A,11,'収支（後期）'!D:D)</f>
        <v>0</v>
      </c>
      <c r="D19" s="5">
        <f t="shared" si="1"/>
        <v>0</v>
      </c>
    </row>
    <row r="20" spans="1:4">
      <c r="A20" s="4" t="s">
        <v>25</v>
      </c>
      <c r="B20" s="5">
        <f>SUMIF('収支（後期）'!A:A,12,'収支（後期）'!C:C)</f>
        <v>0</v>
      </c>
      <c r="C20" s="5">
        <f>SUMIF('収支（後期）'!A:A,12,'収支（後期）'!D:D)</f>
        <v>0</v>
      </c>
      <c r="D20" s="5">
        <f t="shared" si="1"/>
        <v>0</v>
      </c>
    </row>
    <row r="21" spans="1:4">
      <c r="A21" s="36" t="s">
        <v>26</v>
      </c>
      <c r="B21" s="36">
        <f>SUM(B15:B20)</f>
        <v>0</v>
      </c>
      <c r="C21" s="36">
        <f>SUM(C15:C20)</f>
        <v>0</v>
      </c>
      <c r="D21" s="36">
        <f t="shared" si="1"/>
        <v>0</v>
      </c>
    </row>
    <row r="22" spans="1:4" ht="21" thickBot="1"/>
    <row r="23" spans="1:4" ht="21" thickBot="1">
      <c r="A23" s="37" t="s">
        <v>27</v>
      </c>
      <c r="B23" s="37">
        <f>B11+B21</f>
        <v>0</v>
      </c>
      <c r="C23" s="37">
        <f>C11+C21</f>
        <v>0</v>
      </c>
      <c r="D23" s="37">
        <f>B23-C23</f>
        <v>0</v>
      </c>
    </row>
  </sheetData>
  <mergeCells count="1">
    <mergeCell ref="A1:F1"/>
  </mergeCells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3987-8B23-CE4E-BA83-AD77DC9F4A2E}">
  <dimension ref="A2:H38"/>
  <sheetViews>
    <sheetView tabSelected="1" topLeftCell="A17" zoomScale="139" zoomScaleNormal="139" workbookViewId="0">
      <selection activeCell="E29" sqref="E29"/>
    </sheetView>
  </sheetViews>
  <sheetFormatPr baseColWidth="10" defaultRowHeight="20"/>
  <cols>
    <col min="1" max="1" width="2.140625" customWidth="1"/>
    <col min="2" max="2" width="16.85546875" customWidth="1"/>
    <col min="3" max="4" width="15" customWidth="1"/>
    <col min="5" max="5" width="11.85546875" customWidth="1"/>
    <col min="6" max="6" width="21.42578125" bestFit="1" customWidth="1"/>
    <col min="7" max="7" width="2.140625" customWidth="1"/>
  </cols>
  <sheetData>
    <row r="2" spans="1:8" ht="27">
      <c r="A2" s="71" t="s">
        <v>61</v>
      </c>
      <c r="B2" s="71"/>
      <c r="C2" s="71"/>
      <c r="D2" s="71"/>
      <c r="E2" s="71"/>
      <c r="F2" s="71"/>
      <c r="G2" s="71"/>
    </row>
    <row r="3" spans="1:8" ht="14" customHeight="1"/>
    <row r="4" spans="1:8" ht="24">
      <c r="B4" s="53" t="s">
        <v>28</v>
      </c>
      <c r="C4" s="13" t="s">
        <v>29</v>
      </c>
      <c r="D4" s="78">
        <f>'収支（後期）'!C52</f>
        <v>0</v>
      </c>
      <c r="E4" s="9" t="s">
        <v>54</v>
      </c>
      <c r="F4" s="11"/>
      <c r="G4" s="7"/>
    </row>
    <row r="5" spans="1:8" ht="24">
      <c r="B5" s="53" t="s">
        <v>28</v>
      </c>
      <c r="C5" s="13" t="s">
        <v>30</v>
      </c>
      <c r="D5" s="78">
        <f>'収支（後期）'!D52</f>
        <v>0</v>
      </c>
      <c r="E5" s="9" t="s">
        <v>53</v>
      </c>
      <c r="F5" s="11"/>
      <c r="H5" s="7"/>
    </row>
    <row r="6" spans="1:8" ht="14" customHeight="1">
      <c r="B6" s="11"/>
      <c r="C6" s="64"/>
      <c r="D6" s="79"/>
      <c r="E6" s="11"/>
      <c r="F6" s="11"/>
    </row>
    <row r="7" spans="1:8">
      <c r="B7" s="53"/>
      <c r="C7" s="3" t="s">
        <v>64</v>
      </c>
      <c r="D7" s="80">
        <f>'収支（後期）'!C48</f>
        <v>0</v>
      </c>
      <c r="E7" s="12"/>
      <c r="F7" s="13"/>
    </row>
    <row r="8" spans="1:8" ht="21" thickBot="1">
      <c r="B8" s="14" t="s">
        <v>31</v>
      </c>
      <c r="C8" s="11"/>
      <c r="D8" s="11"/>
      <c r="E8" s="65"/>
      <c r="F8" s="52" t="s">
        <v>82</v>
      </c>
    </row>
    <row r="9" spans="1:8" ht="21" thickBot="1">
      <c r="B9" s="15" t="s">
        <v>43</v>
      </c>
      <c r="C9" s="16" t="s">
        <v>32</v>
      </c>
      <c r="D9" s="17" t="s">
        <v>34</v>
      </c>
      <c r="E9" s="17" t="s">
        <v>33</v>
      </c>
      <c r="F9" s="59" t="s">
        <v>3</v>
      </c>
    </row>
    <row r="10" spans="1:8">
      <c r="B10" s="18" t="s">
        <v>35</v>
      </c>
      <c r="C10" s="19"/>
      <c r="D10" s="77">
        <f>D7</f>
        <v>0</v>
      </c>
      <c r="E10" s="40">
        <f>D10-C10</f>
        <v>0</v>
      </c>
      <c r="F10" s="46" t="s">
        <v>64</v>
      </c>
    </row>
    <row r="11" spans="1:8">
      <c r="B11" s="22" t="s">
        <v>36</v>
      </c>
      <c r="C11" s="23"/>
      <c r="D11" s="24"/>
      <c r="E11" s="41">
        <f t="shared" ref="E11:E17" si="0">C11-D11</f>
        <v>0</v>
      </c>
      <c r="F11" s="8" t="s">
        <v>65</v>
      </c>
    </row>
    <row r="12" spans="1:8">
      <c r="B12" s="22" t="s">
        <v>37</v>
      </c>
      <c r="C12" s="23"/>
      <c r="D12" s="24"/>
      <c r="E12" s="41">
        <f t="shared" si="0"/>
        <v>0</v>
      </c>
      <c r="F12" s="45" t="s">
        <v>63</v>
      </c>
    </row>
    <row r="13" spans="1:8">
      <c r="B13" s="22" t="s">
        <v>38</v>
      </c>
      <c r="C13" s="23"/>
      <c r="D13" s="24"/>
      <c r="E13" s="41">
        <f t="shared" si="0"/>
        <v>0</v>
      </c>
      <c r="F13" s="47" t="s">
        <v>66</v>
      </c>
    </row>
    <row r="14" spans="1:8">
      <c r="B14" s="22" t="s">
        <v>39</v>
      </c>
      <c r="C14" s="23"/>
      <c r="D14" s="24"/>
      <c r="E14" s="41">
        <f t="shared" si="0"/>
        <v>0</v>
      </c>
      <c r="F14" s="45" t="s">
        <v>67</v>
      </c>
    </row>
    <row r="15" spans="1:8">
      <c r="B15" s="22" t="s">
        <v>40</v>
      </c>
      <c r="C15" s="23"/>
      <c r="D15" s="24"/>
      <c r="E15" s="41">
        <f t="shared" si="0"/>
        <v>0</v>
      </c>
      <c r="F15" s="45" t="s">
        <v>68</v>
      </c>
    </row>
    <row r="16" spans="1:8">
      <c r="B16" s="22" t="s">
        <v>41</v>
      </c>
      <c r="C16" s="23"/>
      <c r="D16" s="24"/>
      <c r="E16" s="41">
        <f t="shared" si="0"/>
        <v>0</v>
      </c>
      <c r="F16" s="45" t="s">
        <v>69</v>
      </c>
    </row>
    <row r="17" spans="2:6" ht="21" thickBot="1">
      <c r="B17" s="54" t="s">
        <v>83</v>
      </c>
      <c r="C17" s="27"/>
      <c r="D17" s="28">
        <f>'収支（後期）'!C49</f>
        <v>0</v>
      </c>
      <c r="E17" s="42">
        <f t="shared" si="0"/>
        <v>0</v>
      </c>
      <c r="F17" s="49" t="s">
        <v>70</v>
      </c>
    </row>
    <row r="18" spans="2:6" ht="21" thickBot="1">
      <c r="B18" s="56" t="s">
        <v>42</v>
      </c>
      <c r="C18" s="76">
        <f>SUM(C10:C17)</f>
        <v>0</v>
      </c>
      <c r="D18" s="76">
        <f>SUM(D10:D17)</f>
        <v>0</v>
      </c>
      <c r="E18" s="43">
        <f>SUM(E10:E17)</f>
        <v>0</v>
      </c>
      <c r="F18" s="32"/>
    </row>
    <row r="19" spans="2:6" ht="21" thickBot="1">
      <c r="B19" s="14" t="s">
        <v>44</v>
      </c>
      <c r="C19" s="11"/>
      <c r="D19" s="11"/>
      <c r="E19" s="11"/>
      <c r="F19" s="11"/>
    </row>
    <row r="20" spans="2:6" ht="21" thickBot="1">
      <c r="B20" s="15" t="s">
        <v>43</v>
      </c>
      <c r="C20" s="16" t="s">
        <v>32</v>
      </c>
      <c r="D20" s="17" t="s">
        <v>34</v>
      </c>
      <c r="E20" s="17" t="s">
        <v>33</v>
      </c>
      <c r="F20" s="59" t="s">
        <v>89</v>
      </c>
    </row>
    <row r="21" spans="2:6">
      <c r="B21" s="18" t="s">
        <v>45</v>
      </c>
      <c r="C21" s="19"/>
      <c r="D21" s="20"/>
      <c r="E21" s="20">
        <f t="shared" ref="E21:E28" si="1">C21-D21</f>
        <v>0</v>
      </c>
      <c r="F21" s="50" t="s">
        <v>66</v>
      </c>
    </row>
    <row r="22" spans="2:6">
      <c r="B22" s="22" t="s">
        <v>46</v>
      </c>
      <c r="C22" s="23"/>
      <c r="D22" s="24"/>
      <c r="E22" s="41">
        <f t="shared" si="1"/>
        <v>0</v>
      </c>
      <c r="F22" s="47" t="s">
        <v>71</v>
      </c>
    </row>
    <row r="23" spans="2:6">
      <c r="B23" s="22" t="s">
        <v>47</v>
      </c>
      <c r="C23" s="23"/>
      <c r="D23" s="24"/>
      <c r="E23" s="41">
        <f t="shared" si="1"/>
        <v>0</v>
      </c>
      <c r="F23" s="47" t="s">
        <v>72</v>
      </c>
    </row>
    <row r="24" spans="2:6">
      <c r="B24" s="22" t="s">
        <v>48</v>
      </c>
      <c r="C24" s="23"/>
      <c r="D24" s="24"/>
      <c r="E24" s="41">
        <f t="shared" si="1"/>
        <v>0</v>
      </c>
      <c r="F24" s="51" t="s">
        <v>73</v>
      </c>
    </row>
    <row r="25" spans="2:6">
      <c r="B25" s="22" t="s">
        <v>49</v>
      </c>
      <c r="C25" s="23"/>
      <c r="D25" s="24"/>
      <c r="E25" s="41">
        <f t="shared" si="1"/>
        <v>0</v>
      </c>
      <c r="F25" s="47" t="s">
        <v>74</v>
      </c>
    </row>
    <row r="26" spans="2:6">
      <c r="B26" s="22" t="s">
        <v>50</v>
      </c>
      <c r="C26" s="23"/>
      <c r="D26" s="24"/>
      <c r="E26" s="41">
        <f t="shared" si="1"/>
        <v>0</v>
      </c>
      <c r="F26" s="51" t="s">
        <v>86</v>
      </c>
    </row>
    <row r="27" spans="2:6">
      <c r="B27" s="22" t="s">
        <v>51</v>
      </c>
      <c r="C27" s="23"/>
      <c r="D27" s="24"/>
      <c r="E27" s="41">
        <f t="shared" si="1"/>
        <v>0</v>
      </c>
      <c r="F27" s="47" t="s">
        <v>75</v>
      </c>
    </row>
    <row r="28" spans="2:6" ht="21" thickBot="1">
      <c r="B28" s="26" t="s">
        <v>52</v>
      </c>
      <c r="C28" s="27"/>
      <c r="D28" s="28"/>
      <c r="E28" s="42">
        <f t="shared" si="1"/>
        <v>0</v>
      </c>
      <c r="F28" s="48" t="s">
        <v>76</v>
      </c>
    </row>
    <row r="29" spans="2:6" ht="21" thickBot="1">
      <c r="B29" s="56" t="s">
        <v>42</v>
      </c>
      <c r="C29" s="76">
        <f>SUM(C21:C28)</f>
        <v>0</v>
      </c>
      <c r="D29" s="76">
        <f>SUM(D21:D28)</f>
        <v>0</v>
      </c>
      <c r="E29" s="43">
        <f>SUM(E21:E28)</f>
        <v>0</v>
      </c>
      <c r="F29" s="32"/>
    </row>
    <row r="30" spans="2:6">
      <c r="B30" s="11"/>
      <c r="C30" s="11"/>
      <c r="D30" s="11"/>
      <c r="E30" s="44"/>
      <c r="F30" s="11"/>
    </row>
    <row r="31" spans="2:6">
      <c r="B31" s="53" t="s">
        <v>28</v>
      </c>
      <c r="C31" s="72" t="s">
        <v>29</v>
      </c>
      <c r="D31" s="73">
        <f>D18</f>
        <v>0</v>
      </c>
      <c r="E31" s="34" t="s">
        <v>77</v>
      </c>
      <c r="F31" s="11"/>
    </row>
    <row r="32" spans="2:6">
      <c r="B32" s="53" t="s">
        <v>28</v>
      </c>
      <c r="C32" s="72" t="s">
        <v>30</v>
      </c>
      <c r="D32" s="73">
        <f>D29</f>
        <v>0</v>
      </c>
      <c r="E32" s="34" t="s">
        <v>78</v>
      </c>
      <c r="F32" s="11"/>
    </row>
    <row r="33" spans="2:6">
      <c r="B33" s="6" t="s">
        <v>55</v>
      </c>
      <c r="C33" s="74" t="s">
        <v>95</v>
      </c>
      <c r="D33" s="75">
        <f>D31-D32</f>
        <v>0</v>
      </c>
      <c r="E33" s="3" t="s">
        <v>56</v>
      </c>
    </row>
    <row r="34" spans="2:6">
      <c r="C34" s="3"/>
      <c r="D34" s="33"/>
      <c r="E34" s="3"/>
    </row>
    <row r="35" spans="2:6">
      <c r="B35" s="34" t="s">
        <v>57</v>
      </c>
    </row>
    <row r="36" spans="2:6">
      <c r="B36" s="34" t="s">
        <v>58</v>
      </c>
    </row>
    <row r="37" spans="2:6">
      <c r="B37" s="34"/>
    </row>
    <row r="38" spans="2:6" ht="21" thickBot="1">
      <c r="D38" s="38" t="s">
        <v>59</v>
      </c>
      <c r="E38" s="35"/>
      <c r="F38" s="39" t="s">
        <v>60</v>
      </c>
    </row>
  </sheetData>
  <mergeCells count="1">
    <mergeCell ref="A2:G2"/>
  </mergeCells>
  <phoneticPr fontId="1"/>
  <printOptions horizontalCentered="1"/>
  <pageMargins left="5.5555555555555558E-3" right="5.5555555555555558E-3" top="5.5555555555555558E-3" bottom="5.5555555555555558E-3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506D-CBDF-B345-9A38-E38C5A40C8B3}">
  <dimension ref="A2:H37"/>
  <sheetViews>
    <sheetView topLeftCell="A11" zoomScale="139" zoomScaleNormal="139" workbookViewId="0">
      <selection activeCell="D5" sqref="D5"/>
    </sheetView>
  </sheetViews>
  <sheetFormatPr baseColWidth="10" defaultRowHeight="20"/>
  <cols>
    <col min="1" max="1" width="2.140625" customWidth="1"/>
    <col min="2" max="2" width="16.28515625" customWidth="1"/>
    <col min="3" max="4" width="15" customWidth="1"/>
    <col min="5" max="5" width="11.85546875" customWidth="1"/>
    <col min="6" max="6" width="19.85546875" customWidth="1"/>
    <col min="7" max="7" width="2.140625" customWidth="1"/>
  </cols>
  <sheetData>
    <row r="2" spans="1:8" ht="27">
      <c r="A2" s="71" t="s">
        <v>62</v>
      </c>
      <c r="B2" s="71"/>
      <c r="C2" s="71"/>
      <c r="D2" s="71"/>
      <c r="E2" s="71"/>
      <c r="F2" s="71"/>
      <c r="G2" s="71"/>
    </row>
    <row r="3" spans="1:8" ht="14" customHeight="1"/>
    <row r="4" spans="1:8" ht="24">
      <c r="B4" s="53" t="s">
        <v>28</v>
      </c>
      <c r="C4" s="34" t="s">
        <v>79</v>
      </c>
      <c r="D4" s="10"/>
      <c r="E4" s="9" t="s">
        <v>54</v>
      </c>
      <c r="F4" s="11"/>
      <c r="G4" s="7"/>
    </row>
    <row r="5" spans="1:8" ht="24">
      <c r="B5" s="53" t="s">
        <v>28</v>
      </c>
      <c r="C5" s="34" t="s">
        <v>80</v>
      </c>
      <c r="D5" s="10"/>
      <c r="E5" s="9" t="s">
        <v>53</v>
      </c>
      <c r="F5" s="11"/>
      <c r="H5" s="7"/>
    </row>
    <row r="6" spans="1:8">
      <c r="B6" s="11"/>
      <c r="C6" s="9"/>
      <c r="D6" s="14"/>
      <c r="E6" s="12"/>
      <c r="F6" s="13"/>
    </row>
    <row r="7" spans="1:8" ht="21" thickBot="1">
      <c r="B7" s="14" t="s">
        <v>31</v>
      </c>
      <c r="C7" s="11"/>
      <c r="D7" s="11"/>
      <c r="E7" s="11"/>
      <c r="F7" s="52" t="s">
        <v>81</v>
      </c>
    </row>
    <row r="8" spans="1:8" ht="21" thickBot="1">
      <c r="B8" s="15" t="s">
        <v>43</v>
      </c>
      <c r="C8" s="16" t="s">
        <v>32</v>
      </c>
      <c r="D8" s="17" t="s">
        <v>34</v>
      </c>
      <c r="E8" s="17" t="s">
        <v>33</v>
      </c>
      <c r="F8" s="60" t="s">
        <v>3</v>
      </c>
    </row>
    <row r="9" spans="1:8">
      <c r="B9" s="18" t="s">
        <v>35</v>
      </c>
      <c r="C9" s="19"/>
      <c r="D9" s="20"/>
      <c r="E9" s="21">
        <f t="shared" ref="E9:E16" si="0">C9-D9</f>
        <v>0</v>
      </c>
      <c r="F9" s="57" t="s">
        <v>64</v>
      </c>
    </row>
    <row r="10" spans="1:8">
      <c r="B10" s="22" t="s">
        <v>36</v>
      </c>
      <c r="C10" s="23"/>
      <c r="D10" s="24"/>
      <c r="E10" s="25">
        <f t="shared" si="0"/>
        <v>0</v>
      </c>
      <c r="F10" s="58" t="s">
        <v>85</v>
      </c>
    </row>
    <row r="11" spans="1:8">
      <c r="B11" s="22" t="s">
        <v>37</v>
      </c>
      <c r="C11" s="23"/>
      <c r="D11" s="24"/>
      <c r="E11" s="25">
        <f t="shared" si="0"/>
        <v>0</v>
      </c>
      <c r="F11" s="58" t="s">
        <v>63</v>
      </c>
    </row>
    <row r="12" spans="1:8">
      <c r="B12" s="22" t="s">
        <v>38</v>
      </c>
      <c r="C12" s="23"/>
      <c r="D12" s="24"/>
      <c r="E12" s="25">
        <f t="shared" si="0"/>
        <v>0</v>
      </c>
      <c r="F12" s="58" t="s">
        <v>66</v>
      </c>
    </row>
    <row r="13" spans="1:8">
      <c r="B13" s="22" t="s">
        <v>39</v>
      </c>
      <c r="C13" s="23"/>
      <c r="D13" s="24"/>
      <c r="E13" s="25">
        <f t="shared" si="0"/>
        <v>0</v>
      </c>
      <c r="F13" s="58" t="s">
        <v>67</v>
      </c>
    </row>
    <row r="14" spans="1:8">
      <c r="B14" s="22" t="s">
        <v>40</v>
      </c>
      <c r="C14" s="23"/>
      <c r="D14" s="24"/>
      <c r="E14" s="25">
        <f t="shared" si="0"/>
        <v>0</v>
      </c>
      <c r="F14" s="58" t="s">
        <v>68</v>
      </c>
    </row>
    <row r="15" spans="1:8">
      <c r="B15" s="22" t="s">
        <v>41</v>
      </c>
      <c r="C15" s="23"/>
      <c r="D15" s="24"/>
      <c r="E15" s="25">
        <f t="shared" si="0"/>
        <v>0</v>
      </c>
      <c r="F15" s="58" t="s">
        <v>69</v>
      </c>
    </row>
    <row r="16" spans="1:8" ht="21" thickBot="1">
      <c r="B16" s="54" t="s">
        <v>83</v>
      </c>
      <c r="C16" s="27"/>
      <c r="D16" s="28"/>
      <c r="E16" s="29">
        <f t="shared" si="0"/>
        <v>0</v>
      </c>
      <c r="F16" s="49" t="s">
        <v>84</v>
      </c>
    </row>
    <row r="17" spans="2:6" ht="21" thickBot="1">
      <c r="B17" s="56" t="s">
        <v>42</v>
      </c>
      <c r="C17" s="30">
        <f>SUM(C9:C16)</f>
        <v>0</v>
      </c>
      <c r="D17" s="30">
        <f>SUM(D9:D16)</f>
        <v>0</v>
      </c>
      <c r="E17" s="31">
        <f>SUM(E9:E16)</f>
        <v>0</v>
      </c>
      <c r="F17" s="32"/>
    </row>
    <row r="18" spans="2:6" ht="21" thickBot="1">
      <c r="B18" s="14" t="s">
        <v>44</v>
      </c>
      <c r="C18" s="11"/>
      <c r="D18" s="11"/>
      <c r="E18" s="11"/>
      <c r="F18" s="11"/>
    </row>
    <row r="19" spans="2:6" ht="21" thickBot="1">
      <c r="B19" s="15" t="s">
        <v>43</v>
      </c>
      <c r="C19" s="16" t="s">
        <v>32</v>
      </c>
      <c r="D19" s="17" t="s">
        <v>34</v>
      </c>
      <c r="E19" s="17" t="s">
        <v>33</v>
      </c>
      <c r="F19" s="60" t="s">
        <v>89</v>
      </c>
    </row>
    <row r="20" spans="2:6">
      <c r="B20" s="18" t="s">
        <v>45</v>
      </c>
      <c r="C20" s="19"/>
      <c r="D20" s="20"/>
      <c r="E20" s="21">
        <f t="shared" ref="E20:E27" si="1">C20-D20</f>
        <v>0</v>
      </c>
      <c r="F20" s="50" t="s">
        <v>66</v>
      </c>
    </row>
    <row r="21" spans="2:6">
      <c r="B21" s="22" t="s">
        <v>46</v>
      </c>
      <c r="C21" s="23"/>
      <c r="D21" s="24"/>
      <c r="E21" s="25">
        <f t="shared" si="1"/>
        <v>0</v>
      </c>
      <c r="F21" s="47" t="s">
        <v>71</v>
      </c>
    </row>
    <row r="22" spans="2:6">
      <c r="B22" s="22" t="s">
        <v>47</v>
      </c>
      <c r="C22" s="23"/>
      <c r="D22" s="24"/>
      <c r="E22" s="25">
        <f t="shared" si="1"/>
        <v>0</v>
      </c>
      <c r="F22" s="47" t="s">
        <v>72</v>
      </c>
    </row>
    <row r="23" spans="2:6">
      <c r="B23" s="22" t="s">
        <v>48</v>
      </c>
      <c r="C23" s="23"/>
      <c r="D23" s="24"/>
      <c r="E23" s="25">
        <f t="shared" si="1"/>
        <v>0</v>
      </c>
      <c r="F23" s="51" t="s">
        <v>73</v>
      </c>
    </row>
    <row r="24" spans="2:6">
      <c r="B24" s="22" t="s">
        <v>49</v>
      </c>
      <c r="C24" s="23"/>
      <c r="D24" s="24"/>
      <c r="E24" s="25">
        <f t="shared" si="1"/>
        <v>0</v>
      </c>
      <c r="F24" s="47" t="s">
        <v>74</v>
      </c>
    </row>
    <row r="25" spans="2:6">
      <c r="B25" s="22" t="s">
        <v>50</v>
      </c>
      <c r="C25" s="23"/>
      <c r="D25" s="24"/>
      <c r="E25" s="25">
        <f t="shared" si="1"/>
        <v>0</v>
      </c>
      <c r="F25" s="51" t="s">
        <v>86</v>
      </c>
    </row>
    <row r="26" spans="2:6">
      <c r="B26" s="22" t="s">
        <v>51</v>
      </c>
      <c r="C26" s="23"/>
      <c r="D26" s="24"/>
      <c r="E26" s="25">
        <f t="shared" si="1"/>
        <v>0</v>
      </c>
      <c r="F26" s="47" t="s">
        <v>75</v>
      </c>
    </row>
    <row r="27" spans="2:6" ht="21" thickBot="1">
      <c r="B27" s="26" t="s">
        <v>52</v>
      </c>
      <c r="C27" s="27"/>
      <c r="D27" s="28"/>
      <c r="E27" s="29">
        <f t="shared" si="1"/>
        <v>0</v>
      </c>
      <c r="F27" s="48" t="s">
        <v>76</v>
      </c>
    </row>
    <row r="28" spans="2:6" ht="21" thickBot="1">
      <c r="B28" s="56" t="s">
        <v>42</v>
      </c>
      <c r="C28" s="30">
        <f>SUM(C20:C27)</f>
        <v>0</v>
      </c>
      <c r="D28" s="30">
        <f>SUM(D20:D27)</f>
        <v>0</v>
      </c>
      <c r="E28" s="31">
        <f>SUM(E20:E27)</f>
        <v>0</v>
      </c>
      <c r="F28" s="32"/>
    </row>
    <row r="29" spans="2:6">
      <c r="B29" s="11"/>
      <c r="C29" s="11"/>
      <c r="D29" s="11"/>
      <c r="E29" s="11"/>
      <c r="F29" s="11"/>
    </row>
    <row r="30" spans="2:6">
      <c r="B30" s="9"/>
      <c r="C30" s="9"/>
      <c r="D30" s="10"/>
      <c r="E30" s="9"/>
      <c r="F30" s="11"/>
    </row>
    <row r="31" spans="2:6">
      <c r="B31" s="9"/>
      <c r="C31" s="9"/>
      <c r="D31" s="10"/>
      <c r="E31" s="9"/>
      <c r="F31" s="11"/>
    </row>
    <row r="32" spans="2:6">
      <c r="C32" s="3"/>
      <c r="D32" s="33"/>
      <c r="E32" s="3"/>
    </row>
    <row r="33" spans="2:6">
      <c r="C33" s="3"/>
      <c r="D33" s="33"/>
      <c r="E33" s="3"/>
    </row>
    <row r="34" spans="2:6">
      <c r="B34" s="34"/>
    </row>
    <row r="35" spans="2:6">
      <c r="B35" s="34"/>
    </row>
    <row r="36" spans="2:6">
      <c r="B36" s="34"/>
    </row>
    <row r="37" spans="2:6">
      <c r="D37" s="3"/>
      <c r="F37" s="55"/>
    </row>
  </sheetData>
  <mergeCells count="1">
    <mergeCell ref="A2:G2"/>
  </mergeCells>
  <phoneticPr fontId="1"/>
  <printOptions horizontalCentered="1"/>
  <pageMargins left="6.9444444444444441E-3" right="6.9444444444444441E-3" top="6.9444444444444441E-3" bottom="6.9444444444444441E-3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収支（前期）</vt:lpstr>
      <vt:lpstr>収支（後期）</vt:lpstr>
      <vt:lpstr>集計</vt:lpstr>
      <vt:lpstr>決算書</vt:lpstr>
      <vt:lpstr>予算書（案）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映順 森</dc:creator>
  <cp:lastModifiedBy>映順 森</cp:lastModifiedBy>
  <dcterms:created xsi:type="dcterms:W3CDTF">2026-03-03T00:17:05Z</dcterms:created>
  <dcterms:modified xsi:type="dcterms:W3CDTF">2026-03-03T08:21:30Z</dcterms:modified>
</cp:coreProperties>
</file>